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lavaLevch\Desktop\Work\"/>
    </mc:Choice>
  </mc:AlternateContent>
  <xr:revisionPtr revIDLastSave="0" documentId="13_ncr:1_{542282FF-0A3E-452B-A742-56BB3DF3D31A}" xr6:coauthVersionLast="47" xr6:coauthVersionMax="47" xr10:uidLastSave="{00000000-0000-0000-0000-000000000000}"/>
  <bookViews>
    <workbookView xWindow="1152" yWindow="1152" windowWidth="23040" windowHeight="14280" activeTab="4" xr2:uid="{00000000-000D-0000-FFFF-FFFF00000000}"/>
  </bookViews>
  <sheets>
    <sheet name="Долг" sheetId="3" r:id="rId1"/>
    <sheet name="Март" sheetId="1" r:id="rId2"/>
    <sheet name="Апрель" sheetId="2" r:id="rId3"/>
    <sheet name="Май" sheetId="4" r:id="rId4"/>
    <sheet name="Июнь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5" l="1"/>
  <c r="H1" i="5"/>
  <c r="H1" i="4"/>
  <c r="H5" i="4"/>
  <c r="I1" i="1"/>
  <c r="H5" i="2"/>
  <c r="H1" i="2"/>
  <c r="H4" i="1"/>
  <c r="H5" i="1"/>
  <c r="H3" i="1"/>
  <c r="H1" i="1"/>
  <c r="H2" i="5" l="1"/>
  <c r="H2" i="4"/>
  <c r="H2" i="2"/>
  <c r="H3" i="2" s="1"/>
  <c r="H4" i="2" s="1"/>
  <c r="I1" i="2" s="1"/>
  <c r="H2" i="1"/>
  <c r="H3" i="5" l="1"/>
  <c r="H4" i="5" s="1"/>
  <c r="I1" i="5" s="1"/>
  <c r="H3" i="4"/>
  <c r="H4" i="4" s="1"/>
  <c r="I1" i="4" s="1"/>
</calcChain>
</file>

<file path=xl/sharedStrings.xml><?xml version="1.0" encoding="utf-8"?>
<sst xmlns="http://schemas.openxmlformats.org/spreadsheetml/2006/main" count="536" uniqueCount="100">
  <si>
    <t>01.03.2026</t>
  </si>
  <si>
    <t xml:space="preserve">Группа из 4 </t>
  </si>
  <si>
    <t>Группа из 5</t>
  </si>
  <si>
    <t>Группа из 6</t>
  </si>
  <si>
    <t>Группа из 7</t>
  </si>
  <si>
    <t>Группа из 8</t>
  </si>
  <si>
    <t xml:space="preserve">Итог: </t>
  </si>
  <si>
    <t xml:space="preserve">Индив </t>
  </si>
  <si>
    <t>02.03.2026</t>
  </si>
  <si>
    <t>05.03.2026</t>
  </si>
  <si>
    <t>06.03.2026</t>
  </si>
  <si>
    <t>Индив 45</t>
  </si>
  <si>
    <t>Индив 90</t>
  </si>
  <si>
    <t>12.03.2026</t>
  </si>
  <si>
    <t>13.03.2026</t>
  </si>
  <si>
    <t>Шоу-Урок</t>
  </si>
  <si>
    <t>14.03.2026</t>
  </si>
  <si>
    <t>15.03.2026</t>
  </si>
  <si>
    <t>BYN</t>
  </si>
  <si>
    <t>16.03.2026</t>
  </si>
  <si>
    <t>19.03.2026</t>
  </si>
  <si>
    <t>20.03.2026</t>
  </si>
  <si>
    <t>21.03.2026</t>
  </si>
  <si>
    <t>22.03.2026</t>
  </si>
  <si>
    <t>23.03.2026</t>
  </si>
  <si>
    <t>26.03.2026</t>
  </si>
  <si>
    <t>27.03.2026</t>
  </si>
  <si>
    <t>30.03.2026</t>
  </si>
  <si>
    <t>28.03.2026</t>
  </si>
  <si>
    <t>29.03.2026</t>
  </si>
  <si>
    <t>Итог вторая школа:</t>
  </si>
  <si>
    <t>02.04.2026</t>
  </si>
  <si>
    <t>03.04.2026</t>
  </si>
  <si>
    <t>04.04.2026</t>
  </si>
  <si>
    <t>05.04.2026</t>
  </si>
  <si>
    <t>06.04.2026</t>
  </si>
  <si>
    <t>09.04.2026</t>
  </si>
  <si>
    <t>10.04.2026</t>
  </si>
  <si>
    <t>11.04.2026</t>
  </si>
  <si>
    <t>12.04.2026</t>
  </si>
  <si>
    <t>13.04.2026</t>
  </si>
  <si>
    <t>16.04.2026</t>
  </si>
  <si>
    <t>17.04.2026</t>
  </si>
  <si>
    <t>18.04.2026</t>
  </si>
  <si>
    <t>19.04.2026</t>
  </si>
  <si>
    <t>20.04.2026</t>
  </si>
  <si>
    <t>23.04.2026</t>
  </si>
  <si>
    <t>24.04.2026</t>
  </si>
  <si>
    <t>26.04.2026</t>
  </si>
  <si>
    <t>25.04.2026</t>
  </si>
  <si>
    <t>27.04.2026</t>
  </si>
  <si>
    <t>30.04.2026</t>
  </si>
  <si>
    <t>Нейротин</t>
  </si>
  <si>
    <t>Дата</t>
  </si>
  <si>
    <t>Долг</t>
  </si>
  <si>
    <t>Выплаты</t>
  </si>
  <si>
    <t>Долг на 30 апреля</t>
  </si>
  <si>
    <t>14 и 28 апреля</t>
  </si>
  <si>
    <t>Итоговый долг</t>
  </si>
  <si>
    <t>В апреле мне кинули 60 000</t>
  </si>
  <si>
    <t>01.05.2026</t>
  </si>
  <si>
    <t>02.05.2026</t>
  </si>
  <si>
    <t>03.05.2026</t>
  </si>
  <si>
    <t>04.05.2026</t>
  </si>
  <si>
    <t>комп.</t>
  </si>
  <si>
    <t>07.05.2026</t>
  </si>
  <si>
    <t>За апрель 63612</t>
  </si>
  <si>
    <t>08.05.2026</t>
  </si>
  <si>
    <t>Нейрокидс</t>
  </si>
  <si>
    <t>Группа из 9</t>
  </si>
  <si>
    <t>14.05.2026</t>
  </si>
  <si>
    <t>09.05.2026</t>
  </si>
  <si>
    <t>10.05.2026</t>
  </si>
  <si>
    <t>11.05.2026</t>
  </si>
  <si>
    <t>15.05.2026</t>
  </si>
  <si>
    <t>16.05.2026</t>
  </si>
  <si>
    <t>17.05.2026</t>
  </si>
  <si>
    <t>18.05.2026</t>
  </si>
  <si>
    <t xml:space="preserve">выплатили </t>
  </si>
  <si>
    <t>Мне выплатили 31300 из долга</t>
  </si>
  <si>
    <t>129 760</t>
  </si>
  <si>
    <r>
      <t xml:space="preserve">За май 13-17 должны 11 000 </t>
    </r>
    <r>
      <rPr>
        <sz val="11"/>
        <color rgb="FFFF0000"/>
        <rFont val="Calibri"/>
        <family val="2"/>
        <charset val="204"/>
        <scheme val="minor"/>
      </rPr>
      <t>РТС</t>
    </r>
  </si>
  <si>
    <r>
      <t xml:space="preserve">За май 1-12 должны 18700 </t>
    </r>
    <r>
      <rPr>
        <sz val="11"/>
        <color rgb="FFFF0000"/>
        <rFont val="Calibri"/>
        <family val="2"/>
        <charset val="204"/>
        <scheme val="minor"/>
      </rPr>
      <t>РТС</t>
    </r>
  </si>
  <si>
    <t>Красным - это РТС</t>
  </si>
  <si>
    <t>за март 67488 - 1336 = 66152</t>
  </si>
  <si>
    <t>21.05.2026</t>
  </si>
  <si>
    <t>22.05.2026</t>
  </si>
  <si>
    <t>23.05.2026</t>
  </si>
  <si>
    <t>24.05.2026</t>
  </si>
  <si>
    <t>28.05.2026</t>
  </si>
  <si>
    <t>29.05.2026</t>
  </si>
  <si>
    <t>30.05.2026</t>
  </si>
  <si>
    <t>31.06.2026</t>
  </si>
  <si>
    <t>НЕ ЯСНО БЫЛ ЛИ</t>
  </si>
  <si>
    <t>01.06.2026</t>
  </si>
  <si>
    <t>04.0.2026</t>
  </si>
  <si>
    <t>05.06.2026</t>
  </si>
  <si>
    <t>06.06.2026</t>
  </si>
  <si>
    <t>07.06.2026</t>
  </si>
  <si>
    <t>08.06.2026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</si>
</sst>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1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16" fontId="0" fillId="0" borderId="0" xfId="0" applyNumberFormat="1"/>
    <xf numFmtId="0" fontId="5" fillId="0" borderId="0" xfId="0" applyFon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B248-AF34-4672-95AE-1245CDCA02C4}">
  <dimension ref="A1:E37"/>
  <sheetViews>
    <sheetView workbookViewId="0">
      <selection activeCell="D15" sqref="D15"/>
    </sheetView>
  </sheetViews>
  <sheetFormatPr defaultRowHeight="14.4" x14ac:dyDescent="0.3"/>
  <cols>
    <col min="1" max="1" width="85.109375" customWidth="1"/>
    <col min="2" max="2" width="41.5546875" customWidth="1"/>
    <col min="3" max="3" width="31.109375" customWidth="1"/>
    <col min="4" max="4" width="25.5546875" customWidth="1"/>
  </cols>
  <sheetData>
    <row r="1" spans="1:5" ht="18" x14ac:dyDescent="0.35">
      <c r="A1" s="12" t="s">
        <v>53</v>
      </c>
      <c r="B1" s="10" t="s">
        <v>54</v>
      </c>
      <c r="C1" s="10" t="s">
        <v>55</v>
      </c>
      <c r="D1" s="10"/>
      <c r="E1" s="9"/>
    </row>
    <row r="2" spans="1:5" x14ac:dyDescent="0.3">
      <c r="B2" s="11" t="s">
        <v>57</v>
      </c>
      <c r="C2" s="11" t="s">
        <v>59</v>
      </c>
      <c r="D2" s="11"/>
      <c r="E2" s="9"/>
    </row>
    <row r="3" spans="1:5" x14ac:dyDescent="0.3">
      <c r="B3" s="7"/>
      <c r="C3" s="11"/>
      <c r="D3" s="11"/>
      <c r="E3" s="9"/>
    </row>
    <row r="4" spans="1:5" x14ac:dyDescent="0.3">
      <c r="A4" s="21" t="s">
        <v>56</v>
      </c>
      <c r="B4" s="11"/>
      <c r="C4" s="11"/>
      <c r="D4" s="11"/>
      <c r="E4" s="19" t="s">
        <v>83</v>
      </c>
    </row>
    <row r="5" spans="1:5" x14ac:dyDescent="0.3">
      <c r="A5" s="21"/>
      <c r="B5" s="11" t="s">
        <v>84</v>
      </c>
      <c r="C5" s="11"/>
      <c r="D5" s="11"/>
      <c r="E5" s="9"/>
    </row>
    <row r="6" spans="1:5" x14ac:dyDescent="0.3">
      <c r="A6" s="11"/>
      <c r="B6" s="11" t="s">
        <v>66</v>
      </c>
      <c r="C6" s="11"/>
      <c r="D6" s="11"/>
      <c r="E6" s="9"/>
    </row>
    <row r="7" spans="1:5" x14ac:dyDescent="0.3">
      <c r="A7" s="11"/>
      <c r="B7" s="11" t="s">
        <v>82</v>
      </c>
      <c r="C7" s="18" t="s">
        <v>78</v>
      </c>
      <c r="D7" s="11"/>
      <c r="E7" s="9"/>
    </row>
    <row r="8" spans="1:5" x14ac:dyDescent="0.3">
      <c r="A8" s="11"/>
      <c r="B8" s="11" t="s">
        <v>81</v>
      </c>
      <c r="C8" s="11"/>
      <c r="D8" s="11"/>
      <c r="E8" s="9"/>
    </row>
    <row r="9" spans="1:5" x14ac:dyDescent="0.3">
      <c r="A9" s="11"/>
      <c r="B9" s="11"/>
      <c r="C9" s="11" t="s">
        <v>79</v>
      </c>
      <c r="D9" s="11"/>
      <c r="E9" s="9"/>
    </row>
    <row r="10" spans="1:5" x14ac:dyDescent="0.3">
      <c r="A10" s="11"/>
      <c r="B10" s="11"/>
      <c r="C10" s="11"/>
      <c r="D10" s="11"/>
      <c r="E10" s="9"/>
    </row>
    <row r="11" spans="1:5" x14ac:dyDescent="0.3">
      <c r="A11" s="11"/>
      <c r="B11" s="11"/>
      <c r="C11" s="11"/>
      <c r="D11" s="11"/>
      <c r="E11" s="9"/>
    </row>
    <row r="12" spans="1:5" x14ac:dyDescent="0.3">
      <c r="A12" s="11"/>
      <c r="B12" s="11"/>
      <c r="C12" s="11"/>
      <c r="D12" s="11"/>
      <c r="E12" s="9"/>
    </row>
    <row r="13" spans="1:5" x14ac:dyDescent="0.3">
      <c r="A13" s="11"/>
      <c r="B13" s="11"/>
      <c r="C13" s="11"/>
      <c r="D13" s="11"/>
      <c r="E13" s="9"/>
    </row>
    <row r="14" spans="1:5" x14ac:dyDescent="0.3">
      <c r="A14" s="11"/>
      <c r="B14" s="11"/>
      <c r="C14" s="11"/>
      <c r="D14" s="11"/>
      <c r="E14" s="9"/>
    </row>
    <row r="15" spans="1:5" x14ac:dyDescent="0.3">
      <c r="A15" s="11"/>
      <c r="B15" s="11"/>
      <c r="C15" s="11"/>
      <c r="D15" s="11"/>
      <c r="E15" s="9"/>
    </row>
    <row r="16" spans="1:5" x14ac:dyDescent="0.3">
      <c r="A16" s="11"/>
      <c r="B16" s="11"/>
      <c r="C16" s="11"/>
      <c r="D16" s="11"/>
      <c r="E16" s="9">
        <v>1336</v>
      </c>
    </row>
    <row r="17" spans="1:5" x14ac:dyDescent="0.3">
      <c r="A17" s="11"/>
      <c r="B17" s="11"/>
      <c r="C17" s="11"/>
      <c r="D17" s="11"/>
      <c r="E17" s="9"/>
    </row>
    <row r="18" spans="1:5" x14ac:dyDescent="0.3">
      <c r="A18" s="13" t="s">
        <v>58</v>
      </c>
      <c r="B18" s="7" t="s">
        <v>80</v>
      </c>
      <c r="C18" s="11"/>
      <c r="D18" s="11"/>
      <c r="E18" s="9"/>
    </row>
    <row r="19" spans="1:5" x14ac:dyDescent="0.3">
      <c r="A19" s="11"/>
      <c r="B19" s="11"/>
      <c r="C19" s="11"/>
      <c r="D19" s="11"/>
      <c r="E19" s="9"/>
    </row>
    <row r="20" spans="1:5" x14ac:dyDescent="0.3">
      <c r="A20" s="11"/>
      <c r="B20" s="11"/>
      <c r="C20" s="11"/>
      <c r="D20" s="11"/>
      <c r="E20" s="9"/>
    </row>
    <row r="21" spans="1:5" x14ac:dyDescent="0.3">
      <c r="A21" s="11"/>
      <c r="B21" s="11"/>
      <c r="C21" s="11"/>
      <c r="D21" s="11"/>
      <c r="E21" s="9"/>
    </row>
    <row r="22" spans="1:5" x14ac:dyDescent="0.3">
      <c r="A22" s="11"/>
      <c r="B22" s="11"/>
      <c r="C22" s="11"/>
      <c r="D22" s="11"/>
      <c r="E22" s="9"/>
    </row>
    <row r="23" spans="1:5" x14ac:dyDescent="0.3">
      <c r="A23" s="11"/>
      <c r="B23" s="11"/>
      <c r="C23" s="11"/>
      <c r="D23" s="11"/>
      <c r="E23" s="9"/>
    </row>
    <row r="24" spans="1:5" x14ac:dyDescent="0.3">
      <c r="A24" s="11"/>
      <c r="B24" s="11"/>
      <c r="C24" s="11"/>
      <c r="D24" s="11"/>
      <c r="E24" s="9"/>
    </row>
    <row r="25" spans="1:5" x14ac:dyDescent="0.3">
      <c r="A25" s="11"/>
      <c r="B25" s="11"/>
      <c r="C25" s="11"/>
      <c r="D25" s="11"/>
      <c r="E25" s="9"/>
    </row>
    <row r="26" spans="1:5" x14ac:dyDescent="0.3">
      <c r="A26" s="11"/>
      <c r="B26" s="11"/>
      <c r="C26" s="11"/>
      <c r="D26" s="11"/>
      <c r="E26" s="9"/>
    </row>
    <row r="27" spans="1:5" x14ac:dyDescent="0.3">
      <c r="A27" s="11"/>
      <c r="B27" s="11"/>
      <c r="C27" s="11"/>
      <c r="D27" s="11"/>
      <c r="E27" s="9"/>
    </row>
    <row r="28" spans="1:5" x14ac:dyDescent="0.3">
      <c r="A28" s="8"/>
      <c r="B28" s="8"/>
      <c r="C28" s="8"/>
      <c r="D28" s="8"/>
      <c r="E28" s="9"/>
    </row>
    <row r="29" spans="1:5" x14ac:dyDescent="0.3">
      <c r="A29" s="8"/>
      <c r="B29" s="8"/>
      <c r="C29" s="8"/>
      <c r="D29" s="8"/>
      <c r="E29" s="9"/>
    </row>
    <row r="30" spans="1:5" x14ac:dyDescent="0.3">
      <c r="A30" s="8"/>
      <c r="B30" s="8"/>
      <c r="C30" s="8"/>
      <c r="D30" s="8"/>
      <c r="E30" s="9"/>
    </row>
    <row r="31" spans="1:5" x14ac:dyDescent="0.3">
      <c r="A31" s="8"/>
      <c r="B31" s="8"/>
      <c r="C31" s="8"/>
      <c r="D31" s="8"/>
      <c r="E31" s="9"/>
    </row>
    <row r="32" spans="1:5" x14ac:dyDescent="0.3">
      <c r="A32" s="8"/>
      <c r="B32" s="8"/>
      <c r="C32" s="8"/>
      <c r="D32" s="8"/>
      <c r="E32" s="9"/>
    </row>
    <row r="33" spans="1:5" x14ac:dyDescent="0.3">
      <c r="A33" s="9"/>
      <c r="B33" s="9"/>
      <c r="C33" s="9"/>
      <c r="D33" s="9"/>
      <c r="E33" s="9"/>
    </row>
    <row r="34" spans="1:5" x14ac:dyDescent="0.3">
      <c r="A34" s="9"/>
      <c r="B34" s="9"/>
      <c r="C34" s="9"/>
      <c r="D34" s="9"/>
      <c r="E34" s="9"/>
    </row>
    <row r="35" spans="1:5" x14ac:dyDescent="0.3">
      <c r="A35" s="9"/>
      <c r="B35" s="9"/>
      <c r="C35" s="9"/>
      <c r="D35" s="9"/>
      <c r="E35" s="9"/>
    </row>
    <row r="36" spans="1:5" x14ac:dyDescent="0.3">
      <c r="A36" s="9"/>
      <c r="B36" s="9"/>
      <c r="C36" s="9"/>
      <c r="D36" s="9"/>
      <c r="E36" s="9"/>
    </row>
    <row r="37" spans="1:5" x14ac:dyDescent="0.3">
      <c r="A37" s="9"/>
      <c r="B37" s="9"/>
      <c r="C37" s="9"/>
      <c r="D37" s="9"/>
      <c r="E37" s="9"/>
    </row>
  </sheetData>
  <mergeCells count="1"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opLeftCell="A49" workbookViewId="0">
      <selection activeCell="A78" sqref="A78"/>
    </sheetView>
  </sheetViews>
  <sheetFormatPr defaultRowHeight="14.4" x14ac:dyDescent="0.3"/>
  <cols>
    <col min="1" max="1" width="109.5546875" customWidth="1"/>
    <col min="2" max="2" width="15.5546875" customWidth="1"/>
    <col min="7" max="7" width="18.5546875" customWidth="1"/>
    <col min="8" max="8" width="12.33203125" customWidth="1"/>
    <col min="9" max="9" width="12" customWidth="1"/>
    <col min="12" max="12" width="14" customWidth="1"/>
  </cols>
  <sheetData>
    <row r="1" spans="1:13" x14ac:dyDescent="0.3">
      <c r="A1" s="1" t="s">
        <v>0</v>
      </c>
      <c r="B1" s="2" t="s">
        <v>5</v>
      </c>
      <c r="C1">
        <v>1520</v>
      </c>
      <c r="G1" s="3" t="s">
        <v>6</v>
      </c>
      <c r="H1">
        <f>SUM(C1:C172)</f>
        <v>56520</v>
      </c>
      <c r="I1" s="4">
        <f xml:space="preserve"> H4* 0.037</f>
        <v>2594.9580000000001</v>
      </c>
      <c r="J1" t="s">
        <v>18</v>
      </c>
    </row>
    <row r="2" spans="1:13" x14ac:dyDescent="0.3">
      <c r="A2" s="1" t="s">
        <v>0</v>
      </c>
      <c r="B2" s="2" t="s">
        <v>4</v>
      </c>
      <c r="C2">
        <v>1330</v>
      </c>
      <c r="H2">
        <f>H1*0.2</f>
        <v>11304</v>
      </c>
      <c r="L2" s="2" t="s">
        <v>1</v>
      </c>
      <c r="M2">
        <v>760</v>
      </c>
    </row>
    <row r="3" spans="1:13" x14ac:dyDescent="0.3">
      <c r="A3" s="1" t="s">
        <v>0</v>
      </c>
      <c r="B3" s="2" t="s">
        <v>1</v>
      </c>
      <c r="C3">
        <v>760</v>
      </c>
      <c r="H3">
        <f>SUM(H1:H2)</f>
        <v>67824</v>
      </c>
      <c r="L3" s="2" t="s">
        <v>2</v>
      </c>
      <c r="M3">
        <v>950</v>
      </c>
    </row>
    <row r="4" spans="1:13" x14ac:dyDescent="0.3">
      <c r="A4" s="1" t="s">
        <v>0</v>
      </c>
      <c r="B4" s="2" t="s">
        <v>4</v>
      </c>
      <c r="C4">
        <v>1330</v>
      </c>
      <c r="H4">
        <f>SUM(H3,H5)</f>
        <v>70134</v>
      </c>
      <c r="L4" s="2" t="s">
        <v>3</v>
      </c>
      <c r="M4">
        <v>1140</v>
      </c>
    </row>
    <row r="5" spans="1:13" x14ac:dyDescent="0.3">
      <c r="A5" s="1" t="s">
        <v>8</v>
      </c>
      <c r="B5" s="5" t="s">
        <v>7</v>
      </c>
      <c r="C5">
        <v>390</v>
      </c>
      <c r="G5" s="3" t="s">
        <v>30</v>
      </c>
      <c r="H5">
        <f>SUM(D1:D322)</f>
        <v>2310</v>
      </c>
      <c r="L5" s="2" t="s">
        <v>4</v>
      </c>
      <c r="M5">
        <v>1330</v>
      </c>
    </row>
    <row r="6" spans="1:13" x14ac:dyDescent="0.3">
      <c r="A6" s="1" t="s">
        <v>8</v>
      </c>
      <c r="B6" s="2" t="s">
        <v>3</v>
      </c>
      <c r="C6">
        <v>1140</v>
      </c>
      <c r="L6" s="2" t="s">
        <v>5</v>
      </c>
      <c r="M6">
        <v>1520</v>
      </c>
    </row>
    <row r="7" spans="1:13" x14ac:dyDescent="0.3">
      <c r="A7" s="1" t="s">
        <v>8</v>
      </c>
      <c r="B7" s="2" t="s">
        <v>3</v>
      </c>
      <c r="C7">
        <v>1140</v>
      </c>
      <c r="L7" s="5" t="s">
        <v>7</v>
      </c>
      <c r="M7">
        <v>390</v>
      </c>
    </row>
    <row r="8" spans="1:13" x14ac:dyDescent="0.3">
      <c r="A8" s="1" t="s">
        <v>9</v>
      </c>
      <c r="B8" s="5" t="s">
        <v>7</v>
      </c>
      <c r="C8">
        <v>390</v>
      </c>
    </row>
    <row r="9" spans="1:13" x14ac:dyDescent="0.3">
      <c r="A9" s="1" t="s">
        <v>9</v>
      </c>
      <c r="B9" s="2" t="s">
        <v>2</v>
      </c>
      <c r="C9">
        <v>950</v>
      </c>
      <c r="L9" s="3" t="s">
        <v>11</v>
      </c>
      <c r="M9">
        <v>322.5</v>
      </c>
    </row>
    <row r="10" spans="1:13" x14ac:dyDescent="0.3">
      <c r="A10" s="1" t="s">
        <v>9</v>
      </c>
      <c r="B10" s="2" t="s">
        <v>3</v>
      </c>
      <c r="C10">
        <v>1140</v>
      </c>
      <c r="L10" s="3" t="s">
        <v>12</v>
      </c>
      <c r="M10">
        <v>645</v>
      </c>
    </row>
    <row r="11" spans="1:13" x14ac:dyDescent="0.3">
      <c r="A11" s="1" t="s">
        <v>10</v>
      </c>
      <c r="B11" s="5" t="s">
        <v>7</v>
      </c>
      <c r="C11">
        <v>390</v>
      </c>
      <c r="L11" s="3" t="s">
        <v>15</v>
      </c>
      <c r="M11">
        <v>375</v>
      </c>
    </row>
    <row r="12" spans="1:13" x14ac:dyDescent="0.3">
      <c r="A12" s="1" t="s">
        <v>10</v>
      </c>
      <c r="B12" s="5" t="s">
        <v>7</v>
      </c>
      <c r="C12">
        <v>390</v>
      </c>
    </row>
    <row r="13" spans="1:13" x14ac:dyDescent="0.3">
      <c r="A13" s="1" t="s">
        <v>10</v>
      </c>
      <c r="B13" s="5" t="s">
        <v>7</v>
      </c>
      <c r="C13">
        <v>390</v>
      </c>
    </row>
    <row r="14" spans="1:13" x14ac:dyDescent="0.3">
      <c r="A14" s="1" t="s">
        <v>10</v>
      </c>
      <c r="B14" s="5" t="s">
        <v>7</v>
      </c>
      <c r="C14">
        <v>390</v>
      </c>
    </row>
    <row r="15" spans="1:13" x14ac:dyDescent="0.3">
      <c r="A15" s="1" t="s">
        <v>10</v>
      </c>
      <c r="B15" s="5" t="s">
        <v>7</v>
      </c>
      <c r="C15">
        <v>390</v>
      </c>
    </row>
    <row r="16" spans="1:13" x14ac:dyDescent="0.3">
      <c r="A16" s="1" t="s">
        <v>10</v>
      </c>
      <c r="B16" s="5" t="s">
        <v>7</v>
      </c>
      <c r="C16">
        <v>390</v>
      </c>
    </row>
    <row r="17" spans="1:4" x14ac:dyDescent="0.3">
      <c r="A17" s="1" t="s">
        <v>13</v>
      </c>
      <c r="B17" s="3" t="s">
        <v>15</v>
      </c>
      <c r="D17">
        <v>375</v>
      </c>
    </row>
    <row r="18" spans="1:4" x14ac:dyDescent="0.3">
      <c r="A18" s="1" t="s">
        <v>13</v>
      </c>
      <c r="B18" s="2" t="s">
        <v>2</v>
      </c>
      <c r="C18">
        <v>950</v>
      </c>
    </row>
    <row r="19" spans="1:4" x14ac:dyDescent="0.3">
      <c r="A19" s="1" t="s">
        <v>13</v>
      </c>
      <c r="B19" s="2" t="s">
        <v>3</v>
      </c>
      <c r="C19">
        <v>1140</v>
      </c>
    </row>
    <row r="20" spans="1:4" x14ac:dyDescent="0.3">
      <c r="A20" s="1" t="s">
        <v>14</v>
      </c>
      <c r="B20" s="5" t="s">
        <v>7</v>
      </c>
      <c r="C20">
        <v>390</v>
      </c>
    </row>
    <row r="21" spans="1:4" x14ac:dyDescent="0.3">
      <c r="A21" s="1" t="s">
        <v>14</v>
      </c>
      <c r="B21" s="5" t="s">
        <v>7</v>
      </c>
      <c r="C21">
        <v>390</v>
      </c>
    </row>
    <row r="22" spans="1:4" x14ac:dyDescent="0.3">
      <c r="A22" s="1" t="s">
        <v>14</v>
      </c>
      <c r="B22" s="5" t="s">
        <v>7</v>
      </c>
      <c r="C22">
        <v>390</v>
      </c>
    </row>
    <row r="23" spans="1:4" x14ac:dyDescent="0.3">
      <c r="A23" s="1" t="s">
        <v>14</v>
      </c>
      <c r="B23" s="5" t="s">
        <v>7</v>
      </c>
      <c r="C23">
        <v>390</v>
      </c>
    </row>
    <row r="24" spans="1:4" x14ac:dyDescent="0.3">
      <c r="A24" s="1" t="s">
        <v>14</v>
      </c>
      <c r="B24" s="5" t="s">
        <v>7</v>
      </c>
      <c r="C24">
        <v>390</v>
      </c>
    </row>
    <row r="25" spans="1:4" x14ac:dyDescent="0.3">
      <c r="A25" s="1" t="s">
        <v>14</v>
      </c>
      <c r="B25" s="5" t="s">
        <v>7</v>
      </c>
      <c r="C25">
        <v>390</v>
      </c>
    </row>
    <row r="26" spans="1:4" x14ac:dyDescent="0.3">
      <c r="A26" s="1" t="s">
        <v>14</v>
      </c>
      <c r="B26" s="5" t="s">
        <v>7</v>
      </c>
      <c r="C26">
        <v>390</v>
      </c>
    </row>
    <row r="27" spans="1:4" x14ac:dyDescent="0.3">
      <c r="A27" s="1" t="s">
        <v>14</v>
      </c>
      <c r="B27" s="5" t="s">
        <v>7</v>
      </c>
      <c r="C27">
        <v>390</v>
      </c>
    </row>
    <row r="28" spans="1:4" x14ac:dyDescent="0.3">
      <c r="A28" s="1" t="s">
        <v>16</v>
      </c>
      <c r="B28" s="5" t="s">
        <v>7</v>
      </c>
      <c r="C28">
        <v>390</v>
      </c>
    </row>
    <row r="29" spans="1:4" x14ac:dyDescent="0.3">
      <c r="A29" s="1" t="s">
        <v>16</v>
      </c>
      <c r="B29" s="5" t="s">
        <v>7</v>
      </c>
      <c r="C29">
        <v>390</v>
      </c>
    </row>
    <row r="30" spans="1:4" x14ac:dyDescent="0.3">
      <c r="A30" s="1" t="s">
        <v>16</v>
      </c>
      <c r="B30" s="2" t="s">
        <v>2</v>
      </c>
      <c r="C30">
        <v>950</v>
      </c>
    </row>
    <row r="31" spans="1:4" x14ac:dyDescent="0.3">
      <c r="A31" s="1" t="s">
        <v>16</v>
      </c>
      <c r="B31" s="2" t="s">
        <v>1</v>
      </c>
      <c r="C31">
        <v>760</v>
      </c>
    </row>
    <row r="32" spans="1:4" x14ac:dyDescent="0.3">
      <c r="A32" s="1" t="s">
        <v>16</v>
      </c>
      <c r="B32" s="2" t="s">
        <v>5</v>
      </c>
      <c r="C32">
        <v>1520</v>
      </c>
    </row>
    <row r="33" spans="1:4" x14ac:dyDescent="0.3">
      <c r="A33" s="1" t="s">
        <v>16</v>
      </c>
      <c r="B33" s="2" t="s">
        <v>3</v>
      </c>
      <c r="C33">
        <v>1140</v>
      </c>
    </row>
    <row r="34" spans="1:4" x14ac:dyDescent="0.3">
      <c r="A34" s="1" t="s">
        <v>17</v>
      </c>
      <c r="B34" s="2" t="s">
        <v>5</v>
      </c>
      <c r="C34">
        <v>1520</v>
      </c>
    </row>
    <row r="35" spans="1:4" x14ac:dyDescent="0.3">
      <c r="A35" s="1" t="s">
        <v>17</v>
      </c>
      <c r="B35" s="2" t="s">
        <v>4</v>
      </c>
      <c r="C35">
        <v>1330</v>
      </c>
    </row>
    <row r="36" spans="1:4" x14ac:dyDescent="0.3">
      <c r="A36" s="1" t="s">
        <v>17</v>
      </c>
      <c r="B36" s="2" t="s">
        <v>1</v>
      </c>
      <c r="C36">
        <v>760</v>
      </c>
    </row>
    <row r="37" spans="1:4" x14ac:dyDescent="0.3">
      <c r="A37" s="1" t="s">
        <v>17</v>
      </c>
      <c r="B37" s="2" t="s">
        <v>4</v>
      </c>
      <c r="C37">
        <v>1330</v>
      </c>
    </row>
    <row r="38" spans="1:4" x14ac:dyDescent="0.3">
      <c r="A38" s="1" t="s">
        <v>17</v>
      </c>
      <c r="B38" s="5" t="s">
        <v>7</v>
      </c>
      <c r="C38">
        <v>390</v>
      </c>
    </row>
    <row r="39" spans="1:4" x14ac:dyDescent="0.3">
      <c r="A39" s="1" t="s">
        <v>19</v>
      </c>
      <c r="B39" s="2" t="s">
        <v>3</v>
      </c>
      <c r="C39">
        <v>1140</v>
      </c>
    </row>
    <row r="40" spans="1:4" x14ac:dyDescent="0.3">
      <c r="A40" s="1" t="s">
        <v>19</v>
      </c>
      <c r="B40" s="2" t="s">
        <v>3</v>
      </c>
      <c r="C40">
        <v>1140</v>
      </c>
    </row>
    <row r="41" spans="1:4" x14ac:dyDescent="0.3">
      <c r="A41" s="1" t="s">
        <v>20</v>
      </c>
      <c r="B41" s="3" t="s">
        <v>11</v>
      </c>
      <c r="D41">
        <v>322.5</v>
      </c>
    </row>
    <row r="42" spans="1:4" x14ac:dyDescent="0.3">
      <c r="A42" s="1" t="s">
        <v>20</v>
      </c>
      <c r="B42" s="2" t="s">
        <v>3</v>
      </c>
      <c r="C42">
        <v>1140</v>
      </c>
    </row>
    <row r="43" spans="1:4" x14ac:dyDescent="0.3">
      <c r="A43" s="1" t="s">
        <v>20</v>
      </c>
      <c r="B43" s="2" t="s">
        <v>2</v>
      </c>
      <c r="C43">
        <v>950</v>
      </c>
    </row>
    <row r="44" spans="1:4" x14ac:dyDescent="0.3">
      <c r="A44" s="1" t="s">
        <v>21</v>
      </c>
      <c r="B44" s="5" t="s">
        <v>7</v>
      </c>
      <c r="C44">
        <v>390</v>
      </c>
    </row>
    <row r="45" spans="1:4" x14ac:dyDescent="0.3">
      <c r="A45" s="1" t="s">
        <v>21</v>
      </c>
      <c r="B45" s="5" t="s">
        <v>7</v>
      </c>
      <c r="C45">
        <v>390</v>
      </c>
    </row>
    <row r="46" spans="1:4" x14ac:dyDescent="0.3">
      <c r="A46" s="1" t="s">
        <v>21</v>
      </c>
      <c r="B46" s="5" t="s">
        <v>7</v>
      </c>
      <c r="C46">
        <v>390</v>
      </c>
    </row>
    <row r="47" spans="1:4" x14ac:dyDescent="0.3">
      <c r="A47" s="1" t="s">
        <v>21</v>
      </c>
      <c r="B47" s="5" t="s">
        <v>7</v>
      </c>
      <c r="C47">
        <v>390</v>
      </c>
    </row>
    <row r="48" spans="1:4" x14ac:dyDescent="0.3">
      <c r="A48" s="1" t="s">
        <v>21</v>
      </c>
      <c r="B48" s="5" t="s">
        <v>7</v>
      </c>
      <c r="C48">
        <v>390</v>
      </c>
    </row>
    <row r="49" spans="1:4" x14ac:dyDescent="0.3">
      <c r="A49" s="1" t="s">
        <v>22</v>
      </c>
      <c r="B49" s="3" t="s">
        <v>11</v>
      </c>
      <c r="D49">
        <v>322.5</v>
      </c>
    </row>
    <row r="50" spans="1:4" x14ac:dyDescent="0.3">
      <c r="A50" s="1" t="s">
        <v>22</v>
      </c>
      <c r="B50" s="2" t="s">
        <v>2</v>
      </c>
      <c r="C50">
        <v>950</v>
      </c>
    </row>
    <row r="51" spans="1:4" x14ac:dyDescent="0.3">
      <c r="A51" s="1" t="s">
        <v>22</v>
      </c>
      <c r="B51" s="3" t="s">
        <v>12</v>
      </c>
      <c r="D51">
        <v>645</v>
      </c>
    </row>
    <row r="52" spans="1:4" x14ac:dyDescent="0.3">
      <c r="A52" s="1" t="s">
        <v>22</v>
      </c>
      <c r="B52" s="2" t="s">
        <v>1</v>
      </c>
      <c r="C52">
        <v>760</v>
      </c>
    </row>
    <row r="53" spans="1:4" x14ac:dyDescent="0.3">
      <c r="A53" s="1" t="s">
        <v>22</v>
      </c>
      <c r="B53" s="2" t="s">
        <v>5</v>
      </c>
      <c r="C53">
        <v>1520</v>
      </c>
    </row>
    <row r="54" spans="1:4" x14ac:dyDescent="0.3">
      <c r="A54" s="1" t="s">
        <v>23</v>
      </c>
      <c r="B54" s="2" t="s">
        <v>5</v>
      </c>
      <c r="C54">
        <v>1520</v>
      </c>
    </row>
    <row r="55" spans="1:4" x14ac:dyDescent="0.3">
      <c r="A55" s="1" t="s">
        <v>23</v>
      </c>
      <c r="B55" s="2" t="s">
        <v>1</v>
      </c>
      <c r="C55">
        <v>760</v>
      </c>
    </row>
    <row r="56" spans="1:4" x14ac:dyDescent="0.3">
      <c r="A56" s="1" t="s">
        <v>23</v>
      </c>
      <c r="B56" s="2" t="s">
        <v>4</v>
      </c>
      <c r="C56">
        <v>1330</v>
      </c>
    </row>
    <row r="57" spans="1:4" x14ac:dyDescent="0.3">
      <c r="A57" s="1" t="s">
        <v>24</v>
      </c>
      <c r="B57" s="2" t="s">
        <v>3</v>
      </c>
      <c r="C57">
        <v>1140</v>
      </c>
    </row>
    <row r="58" spans="1:4" x14ac:dyDescent="0.3">
      <c r="A58" s="1" t="s">
        <v>24</v>
      </c>
      <c r="B58" s="2" t="s">
        <v>3</v>
      </c>
      <c r="C58">
        <v>1140</v>
      </c>
    </row>
    <row r="59" spans="1:4" x14ac:dyDescent="0.3">
      <c r="A59" s="1" t="s">
        <v>25</v>
      </c>
      <c r="B59" s="2" t="s">
        <v>3</v>
      </c>
      <c r="C59">
        <v>1140</v>
      </c>
    </row>
    <row r="60" spans="1:4" x14ac:dyDescent="0.3">
      <c r="A60" s="1" t="s">
        <v>25</v>
      </c>
      <c r="B60" s="2" t="s">
        <v>2</v>
      </c>
      <c r="C60">
        <v>950</v>
      </c>
    </row>
    <row r="61" spans="1:4" x14ac:dyDescent="0.3">
      <c r="A61" s="1" t="s">
        <v>26</v>
      </c>
      <c r="B61" s="5" t="s">
        <v>7</v>
      </c>
      <c r="C61">
        <v>390</v>
      </c>
    </row>
    <row r="62" spans="1:4" x14ac:dyDescent="0.3">
      <c r="A62" s="1" t="s">
        <v>26</v>
      </c>
      <c r="B62" s="5" t="s">
        <v>7</v>
      </c>
      <c r="C62">
        <v>390</v>
      </c>
    </row>
    <row r="63" spans="1:4" x14ac:dyDescent="0.3">
      <c r="A63" s="1" t="s">
        <v>26</v>
      </c>
      <c r="B63" s="5" t="s">
        <v>7</v>
      </c>
      <c r="C63">
        <v>390</v>
      </c>
    </row>
    <row r="64" spans="1:4" x14ac:dyDescent="0.3">
      <c r="A64" s="1" t="s">
        <v>26</v>
      </c>
      <c r="B64" s="5" t="s">
        <v>7</v>
      </c>
      <c r="C64">
        <v>390</v>
      </c>
    </row>
    <row r="65" spans="1:4" x14ac:dyDescent="0.3">
      <c r="A65" s="1" t="s">
        <v>28</v>
      </c>
      <c r="B65" s="2" t="s">
        <v>2</v>
      </c>
      <c r="C65">
        <v>950</v>
      </c>
    </row>
    <row r="66" spans="1:4" x14ac:dyDescent="0.3">
      <c r="A66" s="1" t="s">
        <v>28</v>
      </c>
      <c r="B66" s="3" t="s">
        <v>12</v>
      </c>
      <c r="D66">
        <v>645</v>
      </c>
    </row>
    <row r="67" spans="1:4" x14ac:dyDescent="0.3">
      <c r="A67" s="1" t="s">
        <v>28</v>
      </c>
      <c r="B67" s="2" t="s">
        <v>1</v>
      </c>
      <c r="C67">
        <v>760</v>
      </c>
    </row>
    <row r="68" spans="1:4" x14ac:dyDescent="0.3">
      <c r="A68" s="1" t="s">
        <v>28</v>
      </c>
      <c r="B68" s="2" t="s">
        <v>5</v>
      </c>
      <c r="C68">
        <v>1520</v>
      </c>
    </row>
    <row r="72" spans="1:4" x14ac:dyDescent="0.3">
      <c r="A72" s="1" t="s">
        <v>29</v>
      </c>
      <c r="B72" s="2" t="s">
        <v>5</v>
      </c>
      <c r="C72">
        <v>1520</v>
      </c>
    </row>
    <row r="73" spans="1:4" x14ac:dyDescent="0.3">
      <c r="A73" s="1" t="s">
        <v>29</v>
      </c>
      <c r="B73" s="2" t="s">
        <v>1</v>
      </c>
      <c r="C73">
        <v>760</v>
      </c>
    </row>
    <row r="74" spans="1:4" x14ac:dyDescent="0.3">
      <c r="A74" s="1" t="s">
        <v>29</v>
      </c>
      <c r="B74" s="2" t="s">
        <v>5</v>
      </c>
      <c r="C74">
        <v>1520</v>
      </c>
    </row>
    <row r="76" spans="1:4" x14ac:dyDescent="0.3">
      <c r="A76" s="1" t="s">
        <v>27</v>
      </c>
      <c r="B76" s="2" t="s">
        <v>3</v>
      </c>
      <c r="C76">
        <v>1140</v>
      </c>
    </row>
    <row r="77" spans="1:4" x14ac:dyDescent="0.3">
      <c r="A77" s="1" t="s">
        <v>27</v>
      </c>
      <c r="B77" s="2" t="s">
        <v>3</v>
      </c>
      <c r="C77">
        <v>1140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65AB-5371-4096-AE10-A4D1B26C87CF}">
  <dimension ref="A1:O67"/>
  <sheetViews>
    <sheetView zoomScale="85" zoomScaleNormal="85" workbookViewId="0">
      <selection activeCell="G24" sqref="G24"/>
    </sheetView>
  </sheetViews>
  <sheetFormatPr defaultRowHeight="14.4" x14ac:dyDescent="0.3"/>
  <cols>
    <col min="1" max="1" width="101" customWidth="1"/>
    <col min="2" max="2" width="14.33203125" customWidth="1"/>
    <col min="7" max="7" width="18" customWidth="1"/>
    <col min="12" max="12" width="19.33203125" customWidth="1"/>
  </cols>
  <sheetData>
    <row r="1" spans="1:15" x14ac:dyDescent="0.3">
      <c r="A1" s="1" t="s">
        <v>31</v>
      </c>
      <c r="B1" s="2" t="s">
        <v>3</v>
      </c>
      <c r="C1">
        <v>1140</v>
      </c>
      <c r="G1" s="3" t="s">
        <v>6</v>
      </c>
      <c r="H1">
        <f>SUM(C1:C172)</f>
        <v>52800</v>
      </c>
      <c r="I1" s="4">
        <f xml:space="preserve"> H4* 0.0376</f>
        <v>2525.5920000000001</v>
      </c>
      <c r="J1" t="s">
        <v>18</v>
      </c>
    </row>
    <row r="2" spans="1:15" x14ac:dyDescent="0.3">
      <c r="A2" s="1" t="s">
        <v>31</v>
      </c>
      <c r="B2" s="2" t="s">
        <v>2</v>
      </c>
      <c r="C2">
        <v>950</v>
      </c>
      <c r="H2">
        <f>H1*0.2</f>
        <v>10560</v>
      </c>
      <c r="L2" s="2" t="s">
        <v>1</v>
      </c>
      <c r="M2">
        <v>760</v>
      </c>
    </row>
    <row r="3" spans="1:15" x14ac:dyDescent="0.3">
      <c r="A3" s="1" t="s">
        <v>32</v>
      </c>
      <c r="B3" s="5" t="s">
        <v>7</v>
      </c>
      <c r="C3">
        <v>390</v>
      </c>
      <c r="H3">
        <f>SUM(H1:H2)</f>
        <v>63360</v>
      </c>
      <c r="L3" s="2" t="s">
        <v>2</v>
      </c>
      <c r="M3">
        <v>950</v>
      </c>
    </row>
    <row r="4" spans="1:15" x14ac:dyDescent="0.3">
      <c r="A4" s="1" t="s">
        <v>32</v>
      </c>
      <c r="B4" s="5" t="s">
        <v>7</v>
      </c>
      <c r="C4">
        <v>390</v>
      </c>
      <c r="H4">
        <f>SUM(H3,H5)</f>
        <v>67170</v>
      </c>
      <c r="L4" s="2" t="s">
        <v>3</v>
      </c>
      <c r="M4">
        <v>1140</v>
      </c>
    </row>
    <row r="5" spans="1:15" x14ac:dyDescent="0.3">
      <c r="A5" s="1" t="s">
        <v>32</v>
      </c>
      <c r="B5" s="5" t="s">
        <v>7</v>
      </c>
      <c r="C5">
        <v>390</v>
      </c>
      <c r="G5" s="3" t="s">
        <v>30</v>
      </c>
      <c r="H5">
        <f>SUM(D1:D322)</f>
        <v>3810</v>
      </c>
      <c r="L5" s="2" t="s">
        <v>4</v>
      </c>
      <c r="M5">
        <v>1330</v>
      </c>
    </row>
    <row r="6" spans="1:15" x14ac:dyDescent="0.3">
      <c r="A6" s="1" t="s">
        <v>32</v>
      </c>
      <c r="B6" s="5" t="s">
        <v>7</v>
      </c>
      <c r="C6">
        <v>390</v>
      </c>
      <c r="L6" s="2" t="s">
        <v>5</v>
      </c>
      <c r="M6">
        <v>1520</v>
      </c>
    </row>
    <row r="7" spans="1:15" x14ac:dyDescent="0.3">
      <c r="A7" s="1" t="s">
        <v>33</v>
      </c>
      <c r="B7" s="2" t="s">
        <v>2</v>
      </c>
      <c r="C7">
        <v>950</v>
      </c>
      <c r="L7" s="5" t="s">
        <v>7</v>
      </c>
      <c r="M7">
        <v>390</v>
      </c>
    </row>
    <row r="8" spans="1:15" x14ac:dyDescent="0.3">
      <c r="A8" s="1" t="s">
        <v>33</v>
      </c>
      <c r="B8" s="3" t="s">
        <v>12</v>
      </c>
      <c r="D8">
        <v>645</v>
      </c>
    </row>
    <row r="9" spans="1:15" x14ac:dyDescent="0.3">
      <c r="A9" s="1" t="s">
        <v>33</v>
      </c>
      <c r="B9" s="2" t="s">
        <v>1</v>
      </c>
      <c r="C9">
        <v>760</v>
      </c>
      <c r="L9" s="3" t="s">
        <v>11</v>
      </c>
      <c r="N9">
        <v>322.5</v>
      </c>
    </row>
    <row r="10" spans="1:15" x14ac:dyDescent="0.3">
      <c r="A10" s="1" t="s">
        <v>33</v>
      </c>
      <c r="B10" s="2" t="s">
        <v>5</v>
      </c>
      <c r="C10">
        <v>1520</v>
      </c>
      <c r="L10" s="3" t="s">
        <v>12</v>
      </c>
      <c r="N10">
        <v>645</v>
      </c>
    </row>
    <row r="11" spans="1:15" x14ac:dyDescent="0.3">
      <c r="A11" s="1" t="s">
        <v>34</v>
      </c>
      <c r="B11" s="2" t="s">
        <v>5</v>
      </c>
      <c r="C11">
        <v>1520</v>
      </c>
      <c r="L11" s="3" t="s">
        <v>15</v>
      </c>
      <c r="N11">
        <v>375</v>
      </c>
    </row>
    <row r="12" spans="1:15" x14ac:dyDescent="0.3">
      <c r="A12" s="1" t="s">
        <v>34</v>
      </c>
      <c r="B12" s="2" t="s">
        <v>1</v>
      </c>
      <c r="C12">
        <v>760</v>
      </c>
    </row>
    <row r="13" spans="1:15" x14ac:dyDescent="0.3">
      <c r="A13" s="1" t="s">
        <v>34</v>
      </c>
      <c r="B13" s="2" t="s">
        <v>5</v>
      </c>
      <c r="C13">
        <v>1520</v>
      </c>
    </row>
    <row r="14" spans="1:15" x14ac:dyDescent="0.3">
      <c r="A14" s="1" t="s">
        <v>35</v>
      </c>
      <c r="B14" s="2" t="s">
        <v>2</v>
      </c>
      <c r="C14">
        <v>950</v>
      </c>
      <c r="L14" s="6" t="s">
        <v>52</v>
      </c>
      <c r="N14">
        <v>450</v>
      </c>
      <c r="O14">
        <v>135</v>
      </c>
    </row>
    <row r="15" spans="1:15" x14ac:dyDescent="0.3">
      <c r="A15" s="1" t="s">
        <v>35</v>
      </c>
      <c r="B15" s="2" t="s">
        <v>4</v>
      </c>
      <c r="C15">
        <v>1330</v>
      </c>
    </row>
    <row r="16" spans="1:15" x14ac:dyDescent="0.3">
      <c r="A16" s="1" t="s">
        <v>36</v>
      </c>
      <c r="B16" s="2" t="s">
        <v>3</v>
      </c>
      <c r="C16">
        <v>1140</v>
      </c>
    </row>
    <row r="17" spans="1:4" x14ac:dyDescent="0.3">
      <c r="A17" s="1" t="s">
        <v>36</v>
      </c>
      <c r="B17" s="2" t="s">
        <v>2</v>
      </c>
      <c r="C17">
        <v>950</v>
      </c>
    </row>
    <row r="18" spans="1:4" x14ac:dyDescent="0.3">
      <c r="A18" s="1" t="s">
        <v>37</v>
      </c>
      <c r="B18" s="5" t="s">
        <v>7</v>
      </c>
      <c r="C18">
        <v>390</v>
      </c>
    </row>
    <row r="19" spans="1:4" x14ac:dyDescent="0.3">
      <c r="A19" s="1" t="s">
        <v>37</v>
      </c>
      <c r="B19" s="5" t="s">
        <v>7</v>
      </c>
      <c r="C19">
        <v>390</v>
      </c>
    </row>
    <row r="20" spans="1:4" x14ac:dyDescent="0.3">
      <c r="A20" s="1" t="s">
        <v>37</v>
      </c>
      <c r="B20" s="5" t="s">
        <v>7</v>
      </c>
      <c r="C20">
        <v>390</v>
      </c>
    </row>
    <row r="21" spans="1:4" x14ac:dyDescent="0.3">
      <c r="A21" s="1" t="s">
        <v>37</v>
      </c>
      <c r="B21" s="5" t="s">
        <v>7</v>
      </c>
      <c r="C21">
        <v>390</v>
      </c>
    </row>
    <row r="22" spans="1:4" x14ac:dyDescent="0.3">
      <c r="A22" s="1" t="s">
        <v>37</v>
      </c>
      <c r="B22" s="5" t="s">
        <v>7</v>
      </c>
      <c r="C22">
        <v>390</v>
      </c>
    </row>
    <row r="23" spans="1:4" x14ac:dyDescent="0.3">
      <c r="A23" s="1" t="s">
        <v>38</v>
      </c>
      <c r="B23" s="2" t="s">
        <v>2</v>
      </c>
      <c r="C23">
        <v>950</v>
      </c>
    </row>
    <row r="24" spans="1:4" x14ac:dyDescent="0.3">
      <c r="A24" s="1" t="s">
        <v>38</v>
      </c>
      <c r="B24" s="2" t="s">
        <v>1</v>
      </c>
      <c r="C24">
        <v>760</v>
      </c>
    </row>
    <row r="25" spans="1:4" x14ac:dyDescent="0.3">
      <c r="A25" s="1" t="s">
        <v>38</v>
      </c>
      <c r="B25" s="2" t="s">
        <v>5</v>
      </c>
      <c r="C25">
        <v>1520</v>
      </c>
    </row>
    <row r="26" spans="1:4" x14ac:dyDescent="0.3">
      <c r="A26" s="1" t="s">
        <v>38</v>
      </c>
      <c r="B26" s="3" t="s">
        <v>12</v>
      </c>
      <c r="D26">
        <v>645</v>
      </c>
    </row>
    <row r="27" spans="1:4" x14ac:dyDescent="0.3">
      <c r="A27" s="1" t="s">
        <v>39</v>
      </c>
      <c r="B27" s="2" t="s">
        <v>5</v>
      </c>
      <c r="C27">
        <v>1520</v>
      </c>
    </row>
    <row r="28" spans="1:4" x14ac:dyDescent="0.3">
      <c r="A28" s="1" t="s">
        <v>39</v>
      </c>
      <c r="B28" s="2" t="s">
        <v>1</v>
      </c>
      <c r="C28">
        <v>760</v>
      </c>
    </row>
    <row r="29" spans="1:4" x14ac:dyDescent="0.3">
      <c r="A29" s="1" t="s">
        <v>39</v>
      </c>
      <c r="B29" s="2" t="s">
        <v>3</v>
      </c>
      <c r="C29">
        <v>1140</v>
      </c>
    </row>
    <row r="30" spans="1:4" x14ac:dyDescent="0.3">
      <c r="A30" s="1" t="s">
        <v>40</v>
      </c>
      <c r="B30" s="2" t="s">
        <v>2</v>
      </c>
      <c r="C30">
        <v>950</v>
      </c>
    </row>
    <row r="31" spans="1:4" x14ac:dyDescent="0.3">
      <c r="A31" s="1" t="s">
        <v>40</v>
      </c>
      <c r="B31" s="2" t="s">
        <v>4</v>
      </c>
      <c r="C31">
        <v>1330</v>
      </c>
    </row>
    <row r="32" spans="1:4" x14ac:dyDescent="0.3">
      <c r="A32" s="1" t="s">
        <v>41</v>
      </c>
      <c r="B32" s="3" t="s">
        <v>11</v>
      </c>
      <c r="D32">
        <v>322.5</v>
      </c>
    </row>
    <row r="33" spans="1:4" x14ac:dyDescent="0.3">
      <c r="A33" s="1" t="s">
        <v>41</v>
      </c>
      <c r="B33" s="2" t="s">
        <v>3</v>
      </c>
      <c r="C33">
        <v>1140</v>
      </c>
    </row>
    <row r="34" spans="1:4" x14ac:dyDescent="0.3">
      <c r="A34" s="1" t="s">
        <v>41</v>
      </c>
      <c r="B34" s="2" t="s">
        <v>2</v>
      </c>
      <c r="C34">
        <v>950</v>
      </c>
    </row>
    <row r="35" spans="1:4" x14ac:dyDescent="0.3">
      <c r="A35" s="1" t="s">
        <v>42</v>
      </c>
      <c r="B35" s="5" t="s">
        <v>7</v>
      </c>
      <c r="C35">
        <v>390</v>
      </c>
    </row>
    <row r="36" spans="1:4" x14ac:dyDescent="0.3">
      <c r="A36" s="1" t="s">
        <v>42</v>
      </c>
      <c r="B36" s="5" t="s">
        <v>7</v>
      </c>
      <c r="C36">
        <v>390</v>
      </c>
    </row>
    <row r="37" spans="1:4" x14ac:dyDescent="0.3">
      <c r="A37" s="1" t="s">
        <v>42</v>
      </c>
      <c r="B37" s="5" t="s">
        <v>7</v>
      </c>
      <c r="C37">
        <v>390</v>
      </c>
    </row>
    <row r="38" spans="1:4" x14ac:dyDescent="0.3">
      <c r="A38" s="1" t="s">
        <v>42</v>
      </c>
      <c r="B38" s="5" t="s">
        <v>7</v>
      </c>
      <c r="C38">
        <v>390</v>
      </c>
    </row>
    <row r="39" spans="1:4" x14ac:dyDescent="0.3">
      <c r="A39" s="1" t="s">
        <v>43</v>
      </c>
      <c r="B39" s="3" t="s">
        <v>11</v>
      </c>
      <c r="D39">
        <v>322.5</v>
      </c>
    </row>
    <row r="40" spans="1:4" x14ac:dyDescent="0.3">
      <c r="A40" s="1" t="s">
        <v>43</v>
      </c>
      <c r="B40" s="2" t="s">
        <v>1</v>
      </c>
      <c r="C40">
        <v>760</v>
      </c>
    </row>
    <row r="41" spans="1:4" x14ac:dyDescent="0.3">
      <c r="A41" s="1" t="s">
        <v>43</v>
      </c>
      <c r="B41" s="3" t="s">
        <v>12</v>
      </c>
      <c r="D41">
        <v>645</v>
      </c>
    </row>
    <row r="42" spans="1:4" x14ac:dyDescent="0.3">
      <c r="A42" s="1" t="s">
        <v>43</v>
      </c>
      <c r="B42" s="2" t="s">
        <v>1</v>
      </c>
      <c r="C42">
        <v>760</v>
      </c>
    </row>
    <row r="43" spans="1:4" x14ac:dyDescent="0.3">
      <c r="A43" s="1" t="s">
        <v>43</v>
      </c>
      <c r="B43" s="2" t="s">
        <v>5</v>
      </c>
      <c r="C43">
        <v>1520</v>
      </c>
    </row>
    <row r="44" spans="1:4" x14ac:dyDescent="0.3">
      <c r="A44" s="1" t="s">
        <v>44</v>
      </c>
      <c r="B44" s="2" t="s">
        <v>5</v>
      </c>
      <c r="C44">
        <v>1520</v>
      </c>
    </row>
    <row r="45" spans="1:4" x14ac:dyDescent="0.3">
      <c r="A45" s="1" t="s">
        <v>44</v>
      </c>
      <c r="B45" s="2" t="s">
        <v>1</v>
      </c>
      <c r="C45">
        <v>760</v>
      </c>
    </row>
    <row r="46" spans="1:4" x14ac:dyDescent="0.3">
      <c r="A46" s="1" t="s">
        <v>44</v>
      </c>
      <c r="B46" s="2" t="s">
        <v>3</v>
      </c>
      <c r="C46">
        <v>1140</v>
      </c>
    </row>
    <row r="47" spans="1:4" x14ac:dyDescent="0.3">
      <c r="A47" s="1" t="s">
        <v>45</v>
      </c>
      <c r="B47" s="2" t="s">
        <v>2</v>
      </c>
      <c r="C47">
        <v>950</v>
      </c>
    </row>
    <row r="48" spans="1:4" x14ac:dyDescent="0.3">
      <c r="A48" s="1" t="s">
        <v>45</v>
      </c>
      <c r="B48" s="2" t="s">
        <v>4</v>
      </c>
      <c r="C48">
        <v>1330</v>
      </c>
    </row>
    <row r="49" spans="1:4" x14ac:dyDescent="0.3">
      <c r="A49" s="1" t="s">
        <v>46</v>
      </c>
      <c r="B49" s="2" t="s">
        <v>3</v>
      </c>
      <c r="C49">
        <v>1140</v>
      </c>
    </row>
    <row r="50" spans="1:4" x14ac:dyDescent="0.3">
      <c r="A50" s="1" t="s">
        <v>46</v>
      </c>
      <c r="B50" s="2" t="s">
        <v>2</v>
      </c>
      <c r="C50">
        <v>950</v>
      </c>
    </row>
    <row r="51" spans="1:4" x14ac:dyDescent="0.3">
      <c r="A51" s="1" t="s">
        <v>47</v>
      </c>
      <c r="B51" s="5" t="s">
        <v>7</v>
      </c>
      <c r="C51">
        <v>390</v>
      </c>
    </row>
    <row r="52" spans="1:4" x14ac:dyDescent="0.3">
      <c r="A52" s="1" t="s">
        <v>47</v>
      </c>
      <c r="B52" s="5" t="s">
        <v>7</v>
      </c>
      <c r="C52">
        <v>390</v>
      </c>
    </row>
    <row r="53" spans="1:4" x14ac:dyDescent="0.3">
      <c r="A53" s="1" t="s">
        <v>47</v>
      </c>
      <c r="B53" s="5" t="s">
        <v>7</v>
      </c>
      <c r="C53">
        <v>390</v>
      </c>
    </row>
    <row r="54" spans="1:4" x14ac:dyDescent="0.3">
      <c r="A54" s="1" t="s">
        <v>47</v>
      </c>
      <c r="B54" s="5" t="s">
        <v>7</v>
      </c>
      <c r="C54">
        <v>390</v>
      </c>
    </row>
    <row r="55" spans="1:4" x14ac:dyDescent="0.3">
      <c r="A55" s="1" t="s">
        <v>49</v>
      </c>
      <c r="B55" s="2" t="s">
        <v>1</v>
      </c>
      <c r="C55">
        <v>760</v>
      </c>
    </row>
    <row r="56" spans="1:4" x14ac:dyDescent="0.3">
      <c r="A56" s="1" t="s">
        <v>49</v>
      </c>
      <c r="B56" s="3" t="s">
        <v>12</v>
      </c>
      <c r="D56">
        <v>645</v>
      </c>
    </row>
    <row r="57" spans="1:4" x14ac:dyDescent="0.3">
      <c r="A57" s="1" t="s">
        <v>49</v>
      </c>
      <c r="B57" s="2" t="s">
        <v>1</v>
      </c>
      <c r="C57">
        <v>760</v>
      </c>
    </row>
    <row r="58" spans="1:4" x14ac:dyDescent="0.3">
      <c r="A58" s="1" t="s">
        <v>49</v>
      </c>
      <c r="B58" s="2" t="s">
        <v>5</v>
      </c>
      <c r="C58">
        <v>1520</v>
      </c>
    </row>
    <row r="59" spans="1:4" x14ac:dyDescent="0.3">
      <c r="A59" s="1" t="s">
        <v>48</v>
      </c>
      <c r="B59" s="2" t="s">
        <v>5</v>
      </c>
      <c r="C59">
        <v>1520</v>
      </c>
    </row>
    <row r="60" spans="1:4" x14ac:dyDescent="0.3">
      <c r="A60" s="1" t="s">
        <v>48</v>
      </c>
      <c r="B60" s="6" t="s">
        <v>52</v>
      </c>
      <c r="D60">
        <v>135</v>
      </c>
    </row>
    <row r="61" spans="1:4" x14ac:dyDescent="0.3">
      <c r="A61" s="1" t="s">
        <v>48</v>
      </c>
      <c r="B61" s="2" t="s">
        <v>1</v>
      </c>
      <c r="C61">
        <v>760</v>
      </c>
    </row>
    <row r="62" spans="1:4" x14ac:dyDescent="0.3">
      <c r="A62" s="1" t="s">
        <v>48</v>
      </c>
      <c r="B62" s="2" t="s">
        <v>3</v>
      </c>
      <c r="C62">
        <v>1140</v>
      </c>
    </row>
    <row r="63" spans="1:4" x14ac:dyDescent="0.3">
      <c r="A63" s="1" t="s">
        <v>48</v>
      </c>
      <c r="B63" s="6" t="s">
        <v>52</v>
      </c>
      <c r="D63">
        <v>450</v>
      </c>
    </row>
    <row r="64" spans="1:4" x14ac:dyDescent="0.3">
      <c r="A64" s="1" t="s">
        <v>50</v>
      </c>
      <c r="B64" s="2" t="s">
        <v>2</v>
      </c>
      <c r="C64">
        <v>950</v>
      </c>
    </row>
    <row r="65" spans="1:3" x14ac:dyDescent="0.3">
      <c r="A65" s="1" t="s">
        <v>50</v>
      </c>
      <c r="B65" s="2" t="s">
        <v>4</v>
      </c>
      <c r="C65">
        <v>1330</v>
      </c>
    </row>
    <row r="66" spans="1:3" x14ac:dyDescent="0.3">
      <c r="A66" s="1" t="s">
        <v>51</v>
      </c>
      <c r="B66" s="2" t="s">
        <v>3</v>
      </c>
      <c r="C66">
        <v>1140</v>
      </c>
    </row>
    <row r="67" spans="1:3" x14ac:dyDescent="0.3">
      <c r="A67" s="1" t="s">
        <v>51</v>
      </c>
      <c r="B67" s="2" t="s">
        <v>2</v>
      </c>
      <c r="C67">
        <v>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E035-5700-4F08-8257-70B5D4CC5124}">
  <dimension ref="A1:P228"/>
  <sheetViews>
    <sheetView topLeftCell="A16" zoomScaleNormal="100" workbookViewId="0">
      <selection activeCell="F45" sqref="F44:F45"/>
    </sheetView>
  </sheetViews>
  <sheetFormatPr defaultRowHeight="14.4" x14ac:dyDescent="0.3"/>
  <cols>
    <col min="1" max="1" width="82.44140625" customWidth="1"/>
    <col min="2" max="2" width="15.44140625" customWidth="1"/>
    <col min="7" max="7" width="20" customWidth="1"/>
    <col min="9" max="9" width="14.33203125" customWidth="1"/>
    <col min="13" max="13" width="16.6640625" customWidth="1"/>
  </cols>
  <sheetData>
    <row r="1" spans="1:16" x14ac:dyDescent="0.3">
      <c r="A1" s="1" t="s">
        <v>60</v>
      </c>
      <c r="B1" s="14" t="s">
        <v>7</v>
      </c>
      <c r="C1" s="7">
        <v>390</v>
      </c>
      <c r="D1" s="7"/>
      <c r="G1" s="3" t="s">
        <v>6</v>
      </c>
      <c r="H1">
        <f>SUM(C1:C172)</f>
        <v>46880</v>
      </c>
      <c r="I1" s="4">
        <f xml:space="preserve"> H4* 0.0376</f>
        <v>2802.7416000000003</v>
      </c>
      <c r="J1" t="s">
        <v>18</v>
      </c>
    </row>
    <row r="2" spans="1:16" x14ac:dyDescent="0.3">
      <c r="A2" s="1"/>
      <c r="B2" s="14" t="s">
        <v>7</v>
      </c>
      <c r="C2" s="7">
        <v>390</v>
      </c>
      <c r="D2" s="7"/>
      <c r="H2">
        <f>H1*0.2</f>
        <v>9376</v>
      </c>
    </row>
    <row r="3" spans="1:16" x14ac:dyDescent="0.3">
      <c r="A3" s="1"/>
      <c r="B3" s="14" t="s">
        <v>7</v>
      </c>
      <c r="C3" s="7">
        <v>390</v>
      </c>
      <c r="D3" s="7"/>
      <c r="H3">
        <f>SUM(H1:H2)</f>
        <v>56256</v>
      </c>
    </row>
    <row r="4" spans="1:16" x14ac:dyDescent="0.3">
      <c r="A4" s="1" t="s">
        <v>61</v>
      </c>
      <c r="B4" s="15" t="s">
        <v>11</v>
      </c>
      <c r="C4" s="7"/>
      <c r="D4" s="7">
        <v>322.5</v>
      </c>
      <c r="H4">
        <f>SUM(H3,H5)</f>
        <v>74541</v>
      </c>
    </row>
    <row r="5" spans="1:16" x14ac:dyDescent="0.3">
      <c r="A5" s="1"/>
      <c r="B5" s="16" t="s">
        <v>1</v>
      </c>
      <c r="C5" s="7">
        <v>760</v>
      </c>
      <c r="D5" s="7"/>
      <c r="G5" s="3" t="s">
        <v>30</v>
      </c>
      <c r="H5">
        <f>SUM(D1:D322)</f>
        <v>18285</v>
      </c>
    </row>
    <row r="6" spans="1:16" x14ac:dyDescent="0.3">
      <c r="A6" s="1"/>
      <c r="B6" s="15" t="s">
        <v>12</v>
      </c>
      <c r="C6" s="7"/>
      <c r="D6" s="7">
        <v>645</v>
      </c>
      <c r="I6" s="5" t="s">
        <v>7</v>
      </c>
      <c r="J6">
        <v>390</v>
      </c>
    </row>
    <row r="7" spans="1:16" x14ac:dyDescent="0.3">
      <c r="A7" s="1"/>
      <c r="B7" s="16" t="s">
        <v>1</v>
      </c>
      <c r="C7" s="7">
        <v>760</v>
      </c>
      <c r="D7" s="7"/>
      <c r="I7" s="2" t="s">
        <v>1</v>
      </c>
      <c r="J7">
        <v>760</v>
      </c>
    </row>
    <row r="8" spans="1:16" x14ac:dyDescent="0.3">
      <c r="A8" s="1"/>
      <c r="B8" s="16" t="s">
        <v>5</v>
      </c>
      <c r="C8" s="7">
        <v>1520</v>
      </c>
      <c r="D8" s="7"/>
      <c r="I8" s="2" t="s">
        <v>2</v>
      </c>
      <c r="J8">
        <v>950</v>
      </c>
    </row>
    <row r="9" spans="1:16" x14ac:dyDescent="0.3">
      <c r="A9" s="1" t="s">
        <v>62</v>
      </c>
      <c r="B9" s="16" t="s">
        <v>5</v>
      </c>
      <c r="C9" s="7">
        <v>1520</v>
      </c>
      <c r="D9" s="7"/>
      <c r="I9" s="2" t="s">
        <v>3</v>
      </c>
      <c r="J9">
        <v>1140</v>
      </c>
    </row>
    <row r="10" spans="1:16" x14ac:dyDescent="0.3">
      <c r="A10" s="1"/>
      <c r="B10" s="17" t="s">
        <v>52</v>
      </c>
      <c r="C10" s="7"/>
      <c r="D10" s="7">
        <v>450</v>
      </c>
      <c r="I10" s="2" t="s">
        <v>4</v>
      </c>
      <c r="J10">
        <v>1330</v>
      </c>
    </row>
    <row r="11" spans="1:16" x14ac:dyDescent="0.3">
      <c r="A11" s="1"/>
      <c r="B11" s="16" t="s">
        <v>1</v>
      </c>
      <c r="C11" s="7">
        <v>760</v>
      </c>
      <c r="D11" s="7"/>
      <c r="I11" s="2" t="s">
        <v>5</v>
      </c>
      <c r="J11">
        <v>1520</v>
      </c>
    </row>
    <row r="12" spans="1:16" x14ac:dyDescent="0.3">
      <c r="A12" s="1"/>
      <c r="B12" s="16" t="s">
        <v>3</v>
      </c>
      <c r="C12" s="7">
        <v>1140</v>
      </c>
      <c r="D12" s="7"/>
      <c r="I12" s="2" t="s">
        <v>69</v>
      </c>
      <c r="J12">
        <v>1710</v>
      </c>
    </row>
    <row r="13" spans="1:16" x14ac:dyDescent="0.3">
      <c r="A13" s="1" t="s">
        <v>63</v>
      </c>
      <c r="B13" s="16" t="s">
        <v>5</v>
      </c>
      <c r="C13" s="7">
        <v>1520</v>
      </c>
      <c r="D13" s="7"/>
    </row>
    <row r="14" spans="1:16" x14ac:dyDescent="0.3">
      <c r="A14" s="1"/>
      <c r="B14" s="16" t="s">
        <v>2</v>
      </c>
      <c r="C14" s="7">
        <v>950</v>
      </c>
      <c r="D14" s="7"/>
      <c r="I14" s="3" t="s">
        <v>11</v>
      </c>
      <c r="K14">
        <v>322.5</v>
      </c>
      <c r="P14">
        <v>135</v>
      </c>
    </row>
    <row r="15" spans="1:16" x14ac:dyDescent="0.3">
      <c r="A15" s="1"/>
      <c r="B15" s="17" t="s">
        <v>68</v>
      </c>
      <c r="C15" s="7" t="s">
        <v>64</v>
      </c>
      <c r="D15" s="7">
        <v>90</v>
      </c>
      <c r="I15" s="3" t="s">
        <v>12</v>
      </c>
      <c r="K15">
        <v>645</v>
      </c>
    </row>
    <row r="16" spans="1:16" x14ac:dyDescent="0.3">
      <c r="B16" s="17" t="s">
        <v>68</v>
      </c>
      <c r="C16" s="7" t="s">
        <v>64</v>
      </c>
      <c r="D16" s="7">
        <v>90</v>
      </c>
      <c r="I16" s="3" t="s">
        <v>15</v>
      </c>
      <c r="K16">
        <v>375</v>
      </c>
    </row>
    <row r="17" spans="1:11" x14ac:dyDescent="0.3">
      <c r="A17" s="1" t="s">
        <v>65</v>
      </c>
      <c r="B17" s="15" t="s">
        <v>11</v>
      </c>
      <c r="C17" s="7"/>
      <c r="D17" s="7">
        <v>322.5</v>
      </c>
    </row>
    <row r="18" spans="1:11" x14ac:dyDescent="0.3">
      <c r="A18" s="1"/>
      <c r="B18" s="16" t="s">
        <v>3</v>
      </c>
      <c r="C18" s="7">
        <v>1140</v>
      </c>
      <c r="D18" s="7"/>
    </row>
    <row r="19" spans="1:11" x14ac:dyDescent="0.3">
      <c r="A19" s="1"/>
      <c r="B19" s="16" t="s">
        <v>2</v>
      </c>
      <c r="C19" s="7">
        <v>950</v>
      </c>
      <c r="D19" s="7"/>
      <c r="I19" s="6" t="s">
        <v>52</v>
      </c>
      <c r="K19">
        <v>450</v>
      </c>
    </row>
    <row r="20" spans="1:11" x14ac:dyDescent="0.3">
      <c r="A20" s="1" t="s">
        <v>67</v>
      </c>
      <c r="B20" s="14" t="s">
        <v>7</v>
      </c>
      <c r="C20" s="7">
        <v>390</v>
      </c>
      <c r="D20" s="7"/>
      <c r="J20" t="s">
        <v>64</v>
      </c>
      <c r="K20">
        <v>135</v>
      </c>
    </row>
    <row r="21" spans="1:11" x14ac:dyDescent="0.3">
      <c r="A21" s="1"/>
      <c r="B21" s="14" t="s">
        <v>7</v>
      </c>
      <c r="C21" s="7">
        <v>390</v>
      </c>
      <c r="D21" s="7"/>
      <c r="I21" s="6" t="s">
        <v>68</v>
      </c>
      <c r="K21">
        <v>300</v>
      </c>
    </row>
    <row r="22" spans="1:11" x14ac:dyDescent="0.3">
      <c r="A22" s="1" t="s">
        <v>71</v>
      </c>
      <c r="B22" s="15" t="s">
        <v>12</v>
      </c>
      <c r="C22" s="7"/>
      <c r="D22" s="7">
        <v>645</v>
      </c>
      <c r="J22" t="s">
        <v>64</v>
      </c>
      <c r="K22">
        <v>90</v>
      </c>
    </row>
    <row r="23" spans="1:11" x14ac:dyDescent="0.3">
      <c r="A23" s="1"/>
      <c r="B23" s="17" t="s">
        <v>52</v>
      </c>
      <c r="C23" s="7"/>
      <c r="D23" s="7">
        <v>450</v>
      </c>
    </row>
    <row r="24" spans="1:11" x14ac:dyDescent="0.3">
      <c r="A24" s="1" t="s">
        <v>72</v>
      </c>
      <c r="B24" s="17" t="s">
        <v>52</v>
      </c>
      <c r="C24" s="7"/>
      <c r="D24" s="7">
        <v>450</v>
      </c>
    </row>
    <row r="25" spans="1:11" x14ac:dyDescent="0.3">
      <c r="A25" s="1"/>
      <c r="B25" s="17" t="s">
        <v>52</v>
      </c>
      <c r="C25" s="7"/>
      <c r="D25" s="7">
        <v>450</v>
      </c>
    </row>
    <row r="26" spans="1:11" x14ac:dyDescent="0.3">
      <c r="A26" s="1" t="s">
        <v>73</v>
      </c>
      <c r="B26" s="17" t="s">
        <v>68</v>
      </c>
      <c r="C26" s="7"/>
      <c r="D26" s="7">
        <v>300</v>
      </c>
    </row>
    <row r="27" spans="1:11" x14ac:dyDescent="0.3">
      <c r="A27" s="1"/>
      <c r="B27" s="16" t="s">
        <v>2</v>
      </c>
      <c r="C27" s="7">
        <v>950</v>
      </c>
      <c r="D27" s="7"/>
    </row>
    <row r="28" spans="1:11" x14ac:dyDescent="0.3">
      <c r="A28" s="1"/>
      <c r="B28" s="16" t="s">
        <v>69</v>
      </c>
      <c r="C28" s="7">
        <v>1710</v>
      </c>
      <c r="D28" s="7"/>
    </row>
    <row r="29" spans="1:11" x14ac:dyDescent="0.3">
      <c r="A29" s="1" t="s">
        <v>70</v>
      </c>
      <c r="B29" s="16" t="s">
        <v>3</v>
      </c>
      <c r="C29" s="7">
        <v>1140</v>
      </c>
      <c r="D29" s="7"/>
    </row>
    <row r="30" spans="1:11" x14ac:dyDescent="0.3">
      <c r="A30" s="1"/>
      <c r="B30" s="16" t="s">
        <v>3</v>
      </c>
      <c r="C30" s="7">
        <v>1140</v>
      </c>
      <c r="D30" s="7"/>
    </row>
    <row r="31" spans="1:11" x14ac:dyDescent="0.3">
      <c r="A31" s="1" t="s">
        <v>74</v>
      </c>
      <c r="B31" s="14" t="s">
        <v>7</v>
      </c>
      <c r="C31" s="7">
        <v>390</v>
      </c>
      <c r="D31" s="7"/>
    </row>
    <row r="32" spans="1:11" x14ac:dyDescent="0.3">
      <c r="A32" s="1"/>
      <c r="B32" s="14" t="s">
        <v>7</v>
      </c>
      <c r="C32" s="7">
        <v>390</v>
      </c>
      <c r="D32" s="7"/>
    </row>
    <row r="33" spans="1:4" x14ac:dyDescent="0.3">
      <c r="A33" s="1"/>
      <c r="B33" s="14" t="s">
        <v>7</v>
      </c>
      <c r="C33" s="7">
        <v>390</v>
      </c>
      <c r="D33" s="7"/>
    </row>
    <row r="34" spans="1:4" x14ac:dyDescent="0.3">
      <c r="A34" s="1"/>
      <c r="B34" s="17" t="s">
        <v>52</v>
      </c>
      <c r="C34" s="7"/>
      <c r="D34" s="7">
        <v>450</v>
      </c>
    </row>
    <row r="35" spans="1:4" x14ac:dyDescent="0.3">
      <c r="A35" s="1" t="s">
        <v>75</v>
      </c>
      <c r="B35" s="17" t="s">
        <v>52</v>
      </c>
      <c r="C35" s="7"/>
      <c r="D35" s="7">
        <v>450</v>
      </c>
    </row>
    <row r="36" spans="1:4" x14ac:dyDescent="0.3">
      <c r="B36" s="17" t="s">
        <v>52</v>
      </c>
      <c r="C36" s="7"/>
      <c r="D36" s="7">
        <v>450</v>
      </c>
    </row>
    <row r="37" spans="1:4" x14ac:dyDescent="0.3">
      <c r="B37" s="15" t="s">
        <v>12</v>
      </c>
      <c r="C37" s="7"/>
      <c r="D37" s="7">
        <v>645</v>
      </c>
    </row>
    <row r="38" spans="1:4" x14ac:dyDescent="0.3">
      <c r="B38" s="16" t="s">
        <v>1</v>
      </c>
      <c r="C38" s="7">
        <v>760</v>
      </c>
      <c r="D38" s="7"/>
    </row>
    <row r="39" spans="1:4" x14ac:dyDescent="0.3">
      <c r="B39" s="16" t="s">
        <v>69</v>
      </c>
      <c r="C39" s="7">
        <v>1710</v>
      </c>
    </row>
    <row r="40" spans="1:4" x14ac:dyDescent="0.3">
      <c r="B40" s="17" t="s">
        <v>52</v>
      </c>
      <c r="C40" s="7" t="s">
        <v>64</v>
      </c>
      <c r="D40" s="7">
        <v>135</v>
      </c>
    </row>
    <row r="41" spans="1:4" x14ac:dyDescent="0.3">
      <c r="A41" s="1" t="s">
        <v>76</v>
      </c>
      <c r="B41" s="17" t="s">
        <v>52</v>
      </c>
      <c r="C41" s="7"/>
      <c r="D41" s="7">
        <v>450</v>
      </c>
    </row>
    <row r="42" spans="1:4" x14ac:dyDescent="0.3">
      <c r="A42" s="1"/>
      <c r="B42" s="16" t="s">
        <v>5</v>
      </c>
      <c r="C42" s="7">
        <v>1520</v>
      </c>
      <c r="D42" s="7"/>
    </row>
    <row r="43" spans="1:4" x14ac:dyDescent="0.3">
      <c r="A43" s="1"/>
      <c r="B43" s="17" t="s">
        <v>52</v>
      </c>
      <c r="C43" s="7"/>
      <c r="D43" s="7">
        <v>450</v>
      </c>
    </row>
    <row r="44" spans="1:4" x14ac:dyDescent="0.3">
      <c r="A44" s="1"/>
      <c r="B44" s="17" t="s">
        <v>52</v>
      </c>
      <c r="C44" s="7"/>
      <c r="D44" s="7">
        <v>450</v>
      </c>
    </row>
    <row r="45" spans="1:4" x14ac:dyDescent="0.3">
      <c r="A45" s="1"/>
      <c r="B45" s="16" t="s">
        <v>1</v>
      </c>
      <c r="C45" s="7">
        <v>760</v>
      </c>
    </row>
    <row r="46" spans="1:4" x14ac:dyDescent="0.3">
      <c r="A46" s="1"/>
      <c r="B46" s="16" t="s">
        <v>3</v>
      </c>
      <c r="C46" s="7">
        <v>1140</v>
      </c>
      <c r="D46" s="7"/>
    </row>
    <row r="47" spans="1:4" x14ac:dyDescent="0.3">
      <c r="A47" s="1" t="s">
        <v>77</v>
      </c>
      <c r="B47" s="17" t="s">
        <v>68</v>
      </c>
      <c r="D47">
        <v>300</v>
      </c>
    </row>
    <row r="48" spans="1:4" x14ac:dyDescent="0.3">
      <c r="A48" s="1"/>
      <c r="B48" s="16" t="s">
        <v>2</v>
      </c>
      <c r="C48" s="7">
        <v>950</v>
      </c>
      <c r="D48" s="7"/>
    </row>
    <row r="49" spans="1:4" x14ac:dyDescent="0.3">
      <c r="A49" s="1"/>
      <c r="B49" s="16" t="s">
        <v>69</v>
      </c>
      <c r="C49" s="7">
        <v>1710</v>
      </c>
      <c r="D49" s="7"/>
    </row>
    <row r="50" spans="1:4" x14ac:dyDescent="0.3">
      <c r="A50" s="1"/>
      <c r="B50" s="17" t="s">
        <v>52</v>
      </c>
      <c r="C50" s="7"/>
      <c r="D50" s="7">
        <v>450</v>
      </c>
    </row>
    <row r="51" spans="1:4" x14ac:dyDescent="0.3">
      <c r="A51" s="1" t="s">
        <v>85</v>
      </c>
      <c r="B51" s="17" t="s">
        <v>52</v>
      </c>
      <c r="C51" s="7"/>
      <c r="D51" s="7">
        <v>450</v>
      </c>
    </row>
    <row r="52" spans="1:4" x14ac:dyDescent="0.3">
      <c r="A52" s="1"/>
      <c r="B52" s="16" t="s">
        <v>3</v>
      </c>
      <c r="C52" s="7">
        <v>1140</v>
      </c>
      <c r="D52" s="7"/>
    </row>
    <row r="53" spans="1:4" x14ac:dyDescent="0.3">
      <c r="A53" s="1"/>
      <c r="B53" s="16" t="s">
        <v>1</v>
      </c>
      <c r="C53" s="7">
        <v>760</v>
      </c>
      <c r="D53" s="7"/>
    </row>
    <row r="54" spans="1:4" x14ac:dyDescent="0.3">
      <c r="A54" s="1" t="s">
        <v>86</v>
      </c>
      <c r="B54" s="14" t="s">
        <v>7</v>
      </c>
      <c r="C54" s="7">
        <v>390</v>
      </c>
      <c r="D54" s="7"/>
    </row>
    <row r="55" spans="1:4" x14ac:dyDescent="0.3">
      <c r="A55" s="1"/>
      <c r="B55" s="14" t="s">
        <v>7</v>
      </c>
      <c r="C55" s="7">
        <v>390</v>
      </c>
      <c r="D55" s="7"/>
    </row>
    <row r="56" spans="1:4" x14ac:dyDescent="0.3">
      <c r="A56" s="1"/>
      <c r="B56" s="14" t="s">
        <v>7</v>
      </c>
      <c r="C56" s="7">
        <v>390</v>
      </c>
      <c r="D56" s="7"/>
    </row>
    <row r="57" spans="1:4" x14ac:dyDescent="0.3">
      <c r="A57" s="1"/>
      <c r="B57" s="14" t="s">
        <v>7</v>
      </c>
      <c r="C57" s="7">
        <v>390</v>
      </c>
      <c r="D57" s="7"/>
    </row>
    <row r="58" spans="1:4" x14ac:dyDescent="0.3">
      <c r="A58" s="1"/>
      <c r="B58" s="17" t="s">
        <v>52</v>
      </c>
      <c r="C58" s="7"/>
      <c r="D58" s="7">
        <v>450</v>
      </c>
    </row>
    <row r="59" spans="1:4" x14ac:dyDescent="0.3">
      <c r="A59" s="1" t="s">
        <v>87</v>
      </c>
      <c r="B59" s="17" t="s">
        <v>52</v>
      </c>
      <c r="C59" s="7"/>
      <c r="D59" s="7">
        <v>450</v>
      </c>
    </row>
    <row r="60" spans="1:4" x14ac:dyDescent="0.3">
      <c r="A60" s="1"/>
      <c r="B60" s="17" t="s">
        <v>52</v>
      </c>
      <c r="C60" s="7"/>
      <c r="D60" s="7">
        <v>450</v>
      </c>
    </row>
    <row r="61" spans="1:4" x14ac:dyDescent="0.3">
      <c r="A61" s="1"/>
      <c r="B61" s="15" t="s">
        <v>12</v>
      </c>
      <c r="C61" s="7"/>
      <c r="D61" s="7">
        <v>645</v>
      </c>
    </row>
    <row r="62" spans="1:4" x14ac:dyDescent="0.3">
      <c r="A62" s="1"/>
      <c r="B62" s="16" t="s">
        <v>1</v>
      </c>
      <c r="C62" s="7">
        <v>760</v>
      </c>
      <c r="D62" s="7"/>
    </row>
    <row r="63" spans="1:4" x14ac:dyDescent="0.3">
      <c r="A63" s="1"/>
      <c r="B63" s="16" t="s">
        <v>69</v>
      </c>
      <c r="C63" s="7">
        <v>1710</v>
      </c>
      <c r="D63" s="7"/>
    </row>
    <row r="64" spans="1:4" x14ac:dyDescent="0.3">
      <c r="A64" s="1"/>
      <c r="B64" s="17" t="s">
        <v>52</v>
      </c>
      <c r="C64" s="7"/>
      <c r="D64" s="7">
        <v>450</v>
      </c>
    </row>
    <row r="65" spans="1:4" x14ac:dyDescent="0.3">
      <c r="A65" s="1" t="s">
        <v>88</v>
      </c>
      <c r="B65" s="17" t="s">
        <v>52</v>
      </c>
      <c r="C65" s="7"/>
      <c r="D65" s="7">
        <v>450</v>
      </c>
    </row>
    <row r="66" spans="1:4" x14ac:dyDescent="0.3">
      <c r="A66" s="1"/>
      <c r="B66" s="17" t="s">
        <v>52</v>
      </c>
      <c r="C66" s="7"/>
      <c r="D66" s="7">
        <v>450</v>
      </c>
    </row>
    <row r="67" spans="1:4" x14ac:dyDescent="0.3">
      <c r="A67" s="1"/>
      <c r="B67" s="17" t="s">
        <v>52</v>
      </c>
      <c r="C67" s="7"/>
      <c r="D67" s="7">
        <v>450</v>
      </c>
    </row>
    <row r="68" spans="1:4" x14ac:dyDescent="0.3">
      <c r="A68" s="1"/>
      <c r="B68" s="16" t="s">
        <v>5</v>
      </c>
      <c r="C68" s="7">
        <v>1520</v>
      </c>
      <c r="D68" s="7"/>
    </row>
    <row r="69" spans="1:4" x14ac:dyDescent="0.3">
      <c r="A69" s="1"/>
      <c r="B69" s="16" t="s">
        <v>3</v>
      </c>
      <c r="C69" s="7">
        <v>1140</v>
      </c>
      <c r="D69" s="7"/>
    </row>
    <row r="70" spans="1:4" x14ac:dyDescent="0.3">
      <c r="A70" s="1"/>
      <c r="B70" s="16" t="s">
        <v>3</v>
      </c>
      <c r="C70" s="7">
        <v>1140</v>
      </c>
      <c r="D70" s="7"/>
    </row>
    <row r="71" spans="1:4" x14ac:dyDescent="0.3">
      <c r="A71" s="1" t="s">
        <v>89</v>
      </c>
      <c r="B71" s="17" t="s">
        <v>52</v>
      </c>
      <c r="C71" s="7"/>
      <c r="D71" s="7">
        <v>450</v>
      </c>
    </row>
    <row r="72" spans="1:4" x14ac:dyDescent="0.3">
      <c r="A72" s="1"/>
      <c r="B72" s="16" t="s">
        <v>1</v>
      </c>
      <c r="C72" s="7">
        <v>760</v>
      </c>
      <c r="D72" s="7"/>
    </row>
    <row r="73" spans="1:4" x14ac:dyDescent="0.3">
      <c r="B73" s="16" t="s">
        <v>2</v>
      </c>
      <c r="C73" s="7">
        <v>950</v>
      </c>
    </row>
    <row r="74" spans="1:4" x14ac:dyDescent="0.3">
      <c r="B74" s="17" t="s">
        <v>52</v>
      </c>
      <c r="C74" s="7"/>
      <c r="D74" s="7">
        <v>450</v>
      </c>
    </row>
    <row r="75" spans="1:4" x14ac:dyDescent="0.3">
      <c r="A75" s="1" t="s">
        <v>90</v>
      </c>
      <c r="B75" s="17" t="s">
        <v>52</v>
      </c>
      <c r="C75" s="7"/>
      <c r="D75" s="7">
        <v>450</v>
      </c>
    </row>
    <row r="76" spans="1:4" x14ac:dyDescent="0.3">
      <c r="B76" s="14" t="s">
        <v>7</v>
      </c>
      <c r="C76" s="7">
        <v>390</v>
      </c>
    </row>
    <row r="77" spans="1:4" x14ac:dyDescent="0.3">
      <c r="B77" s="14" t="s">
        <v>7</v>
      </c>
      <c r="C77" s="7">
        <v>390</v>
      </c>
    </row>
    <row r="78" spans="1:4" x14ac:dyDescent="0.3">
      <c r="B78" s="17" t="s">
        <v>52</v>
      </c>
      <c r="C78" s="7"/>
      <c r="D78" s="7">
        <v>450</v>
      </c>
    </row>
    <row r="79" spans="1:4" x14ac:dyDescent="0.3">
      <c r="B79" s="17" t="s">
        <v>52</v>
      </c>
      <c r="C79" s="7"/>
      <c r="D79" s="7">
        <v>450</v>
      </c>
    </row>
    <row r="80" spans="1:4" x14ac:dyDescent="0.3">
      <c r="A80" s="1" t="s">
        <v>91</v>
      </c>
      <c r="B80" s="17" t="s">
        <v>52</v>
      </c>
      <c r="C80" s="7"/>
      <c r="D80" s="7">
        <v>450</v>
      </c>
    </row>
    <row r="81" spans="1:5" x14ac:dyDescent="0.3">
      <c r="B81" s="17" t="s">
        <v>52</v>
      </c>
      <c r="C81" s="7"/>
      <c r="D81" s="7">
        <v>450</v>
      </c>
    </row>
    <row r="82" spans="1:5" x14ac:dyDescent="0.3">
      <c r="A82" s="1"/>
      <c r="B82" s="17" t="s">
        <v>52</v>
      </c>
      <c r="C82" s="7"/>
      <c r="D82" s="7">
        <v>450</v>
      </c>
    </row>
    <row r="83" spans="1:5" x14ac:dyDescent="0.3">
      <c r="A83" s="1"/>
      <c r="B83" s="15" t="s">
        <v>12</v>
      </c>
      <c r="C83" s="7"/>
      <c r="D83" s="7">
        <v>645</v>
      </c>
      <c r="E83" t="s">
        <v>93</v>
      </c>
    </row>
    <row r="84" spans="1:5" x14ac:dyDescent="0.3">
      <c r="A84" s="1"/>
      <c r="B84" s="16" t="s">
        <v>1</v>
      </c>
      <c r="C84" s="7">
        <v>760</v>
      </c>
      <c r="D84" s="7"/>
    </row>
    <row r="85" spans="1:5" x14ac:dyDescent="0.3">
      <c r="A85" s="1"/>
      <c r="B85" s="16" t="s">
        <v>69</v>
      </c>
      <c r="C85" s="7">
        <v>1710</v>
      </c>
      <c r="D85" s="7"/>
    </row>
    <row r="86" spans="1:5" x14ac:dyDescent="0.3">
      <c r="A86" s="1"/>
      <c r="B86" s="16" t="s">
        <v>1</v>
      </c>
      <c r="C86" s="7">
        <v>760</v>
      </c>
    </row>
    <row r="87" spans="1:5" x14ac:dyDescent="0.3">
      <c r="A87" s="1" t="s">
        <v>92</v>
      </c>
      <c r="B87" s="17" t="s">
        <v>52</v>
      </c>
      <c r="C87" s="7"/>
      <c r="D87" s="7">
        <v>450</v>
      </c>
    </row>
    <row r="88" spans="1:5" x14ac:dyDescent="0.3">
      <c r="A88" s="1"/>
      <c r="B88" s="17" t="s">
        <v>52</v>
      </c>
      <c r="C88" s="7"/>
      <c r="D88" s="7">
        <v>450</v>
      </c>
    </row>
    <row r="89" spans="1:5" x14ac:dyDescent="0.3">
      <c r="A89" s="1"/>
      <c r="B89" s="17" t="s">
        <v>52</v>
      </c>
      <c r="C89" s="7"/>
      <c r="D89" s="7">
        <v>450</v>
      </c>
    </row>
    <row r="90" spans="1:5" x14ac:dyDescent="0.3">
      <c r="A90" s="1"/>
      <c r="B90" s="16" t="s">
        <v>5</v>
      </c>
      <c r="C90" s="7">
        <v>1520</v>
      </c>
      <c r="D90" s="7"/>
    </row>
    <row r="91" spans="1:5" x14ac:dyDescent="0.3">
      <c r="A91" s="1"/>
      <c r="B91" s="16" t="s">
        <v>3</v>
      </c>
      <c r="C91" s="7">
        <v>1140</v>
      </c>
      <c r="D91" s="7"/>
    </row>
    <row r="92" spans="1:5" x14ac:dyDescent="0.3">
      <c r="A92" s="1"/>
      <c r="B92" s="16" t="s">
        <v>3</v>
      </c>
      <c r="C92" s="7">
        <v>1140</v>
      </c>
      <c r="D92" s="7"/>
    </row>
    <row r="96" spans="1:5" x14ac:dyDescent="0.3">
      <c r="A96" s="1"/>
      <c r="B96" s="7"/>
      <c r="C96" s="7"/>
      <c r="D96" s="7"/>
    </row>
    <row r="97" spans="1:4" x14ac:dyDescent="0.3">
      <c r="A97" s="1"/>
      <c r="B97" s="7"/>
      <c r="C97" s="7"/>
      <c r="D97" s="7"/>
    </row>
    <row r="98" spans="1:4" x14ac:dyDescent="0.3">
      <c r="A98" s="1"/>
      <c r="B98" s="7"/>
      <c r="C98" s="7"/>
      <c r="D98" s="7"/>
    </row>
    <row r="99" spans="1:4" x14ac:dyDescent="0.3">
      <c r="A99" s="1"/>
      <c r="B99" s="7"/>
      <c r="C99" s="7"/>
      <c r="D99" s="7"/>
    </row>
    <row r="100" spans="1:4" x14ac:dyDescent="0.3">
      <c r="A100" s="1"/>
      <c r="B100" s="7"/>
      <c r="C100" s="7"/>
      <c r="D100" s="7"/>
    </row>
    <row r="101" spans="1:4" x14ac:dyDescent="0.3">
      <c r="A101" s="1"/>
      <c r="B101" s="7"/>
      <c r="C101" s="7"/>
      <c r="D101" s="7"/>
    </row>
    <row r="102" spans="1:4" x14ac:dyDescent="0.3">
      <c r="A102" s="1"/>
      <c r="B102" s="7"/>
      <c r="C102" s="7"/>
      <c r="D102" s="7"/>
    </row>
    <row r="103" spans="1:4" x14ac:dyDescent="0.3">
      <c r="A103" s="1"/>
      <c r="B103" s="7"/>
      <c r="C103" s="7"/>
      <c r="D103" s="7"/>
    </row>
    <row r="104" spans="1:4" x14ac:dyDescent="0.3">
      <c r="A104" s="1"/>
      <c r="B104" s="7"/>
      <c r="C104" s="7"/>
      <c r="D104" s="7"/>
    </row>
    <row r="105" spans="1:4" x14ac:dyDescent="0.3">
      <c r="A105" s="1"/>
      <c r="B105" s="7"/>
      <c r="C105" s="7"/>
      <c r="D105" s="7"/>
    </row>
    <row r="106" spans="1:4" x14ac:dyDescent="0.3">
      <c r="A106" s="1"/>
      <c r="B106" s="7"/>
      <c r="C106" s="7"/>
      <c r="D106" s="7"/>
    </row>
    <row r="107" spans="1:4" x14ac:dyDescent="0.3">
      <c r="A107" s="1"/>
      <c r="B107" s="7"/>
      <c r="C107" s="7"/>
      <c r="D107" s="7"/>
    </row>
    <row r="108" spans="1:4" x14ac:dyDescent="0.3">
      <c r="A108" s="1"/>
      <c r="B108" s="7"/>
      <c r="C108" s="7"/>
      <c r="D108" s="7"/>
    </row>
    <row r="109" spans="1:4" x14ac:dyDescent="0.3">
      <c r="A109" s="1"/>
      <c r="B109" s="7"/>
      <c r="C109" s="7"/>
      <c r="D109" s="7"/>
    </row>
    <row r="110" spans="1:4" x14ac:dyDescent="0.3">
      <c r="A110" s="1"/>
      <c r="B110" s="7"/>
      <c r="C110" s="7"/>
      <c r="D110" s="7"/>
    </row>
    <row r="111" spans="1:4" x14ac:dyDescent="0.3">
      <c r="A111" s="1"/>
      <c r="B111" s="7"/>
      <c r="C111" s="7"/>
      <c r="D111" s="7"/>
    </row>
    <row r="112" spans="1:4" x14ac:dyDescent="0.3">
      <c r="A112" s="1"/>
      <c r="B112" s="7"/>
      <c r="C112" s="7"/>
      <c r="D112" s="7"/>
    </row>
    <row r="113" spans="1:4" x14ac:dyDescent="0.3">
      <c r="A113" s="1"/>
      <c r="B113" s="7"/>
      <c r="C113" s="7"/>
      <c r="D113" s="7"/>
    </row>
    <row r="114" spans="1:4" x14ac:dyDescent="0.3">
      <c r="A114" s="1"/>
      <c r="B114" s="7"/>
      <c r="C114" s="7"/>
      <c r="D114" s="7"/>
    </row>
    <row r="115" spans="1:4" x14ac:dyDescent="0.3">
      <c r="A115" s="1"/>
      <c r="B115" s="7"/>
      <c r="C115" s="7"/>
      <c r="D115" s="7"/>
    </row>
    <row r="116" spans="1:4" x14ac:dyDescent="0.3">
      <c r="A116" s="1"/>
      <c r="B116" s="7"/>
      <c r="C116" s="7"/>
      <c r="D116" s="7"/>
    </row>
    <row r="117" spans="1:4" x14ac:dyDescent="0.3">
      <c r="A117" s="1"/>
      <c r="B117" s="7"/>
      <c r="C117" s="7"/>
      <c r="D117" s="7"/>
    </row>
    <row r="118" spans="1:4" x14ac:dyDescent="0.3">
      <c r="A118" s="1"/>
      <c r="B118" s="7"/>
      <c r="C118" s="7"/>
      <c r="D118" s="7"/>
    </row>
    <row r="119" spans="1:4" x14ac:dyDescent="0.3">
      <c r="A119" s="1"/>
      <c r="B119" s="7"/>
      <c r="C119" s="7"/>
      <c r="D119" s="7"/>
    </row>
    <row r="120" spans="1:4" x14ac:dyDescent="0.3">
      <c r="A120" s="1"/>
      <c r="B120" s="7"/>
      <c r="C120" s="7"/>
      <c r="D120" s="7"/>
    </row>
    <row r="121" spans="1:4" x14ac:dyDescent="0.3">
      <c r="A121" s="1"/>
      <c r="B121" s="7"/>
      <c r="C121" s="7"/>
      <c r="D121" s="7"/>
    </row>
    <row r="122" spans="1:4" x14ac:dyDescent="0.3">
      <c r="A122" s="1"/>
      <c r="B122" s="7"/>
      <c r="C122" s="7"/>
      <c r="D122" s="7"/>
    </row>
    <row r="123" spans="1:4" x14ac:dyDescent="0.3">
      <c r="A123" s="1"/>
      <c r="B123" s="7"/>
      <c r="C123" s="7"/>
      <c r="D123" s="7"/>
    </row>
    <row r="124" spans="1:4" x14ac:dyDescent="0.3">
      <c r="A124" s="1"/>
      <c r="B124" s="7"/>
      <c r="C124" s="7"/>
      <c r="D124" s="7"/>
    </row>
    <row r="125" spans="1:4" x14ac:dyDescent="0.3">
      <c r="A125" s="1"/>
      <c r="B125" s="7"/>
      <c r="C125" s="7"/>
      <c r="D125" s="7"/>
    </row>
    <row r="126" spans="1:4" x14ac:dyDescent="0.3">
      <c r="A126" s="1"/>
      <c r="B126" s="7"/>
      <c r="C126" s="7"/>
      <c r="D126" s="7"/>
    </row>
    <row r="127" spans="1:4" x14ac:dyDescent="0.3">
      <c r="A127" s="1"/>
      <c r="B127" s="7"/>
      <c r="C127" s="7"/>
      <c r="D127" s="7"/>
    </row>
    <row r="128" spans="1:4" x14ac:dyDescent="0.3">
      <c r="A128" s="1"/>
      <c r="B128" s="7"/>
      <c r="C128" s="7"/>
      <c r="D128" s="7"/>
    </row>
    <row r="129" spans="1:4" x14ac:dyDescent="0.3">
      <c r="A129" s="1"/>
      <c r="B129" s="7"/>
      <c r="C129" s="7"/>
      <c r="D129" s="7"/>
    </row>
    <row r="130" spans="1:4" x14ac:dyDescent="0.3">
      <c r="A130" s="1"/>
      <c r="B130" s="7"/>
      <c r="C130" s="7"/>
      <c r="D130" s="7"/>
    </row>
    <row r="131" spans="1:4" x14ac:dyDescent="0.3">
      <c r="A131" s="1"/>
      <c r="B131" s="7"/>
      <c r="C131" s="7"/>
      <c r="D131" s="7"/>
    </row>
    <row r="132" spans="1:4" x14ac:dyDescent="0.3">
      <c r="A132" s="1"/>
      <c r="B132" s="7"/>
      <c r="C132" s="7"/>
      <c r="D132" s="7"/>
    </row>
    <row r="133" spans="1:4" x14ac:dyDescent="0.3">
      <c r="A133" s="1"/>
      <c r="B133" s="7"/>
      <c r="C133" s="7"/>
      <c r="D133" s="7"/>
    </row>
    <row r="134" spans="1:4" x14ac:dyDescent="0.3">
      <c r="A134" s="1"/>
      <c r="B134" s="7"/>
      <c r="C134" s="7"/>
      <c r="D134" s="7"/>
    </row>
    <row r="135" spans="1:4" x14ac:dyDescent="0.3">
      <c r="A135" s="1"/>
      <c r="B135" s="7"/>
      <c r="C135" s="7"/>
      <c r="D135" s="7"/>
    </row>
    <row r="136" spans="1:4" x14ac:dyDescent="0.3">
      <c r="A136" s="1"/>
      <c r="B136" s="7"/>
      <c r="C136" s="7"/>
      <c r="D136" s="7"/>
    </row>
    <row r="137" spans="1:4" x14ac:dyDescent="0.3">
      <c r="A137" s="1"/>
      <c r="B137" s="7"/>
      <c r="C137" s="7"/>
      <c r="D137" s="7"/>
    </row>
    <row r="138" spans="1:4" x14ac:dyDescent="0.3">
      <c r="A138" s="1"/>
      <c r="B138" s="7"/>
      <c r="C138" s="7"/>
      <c r="D138" s="7"/>
    </row>
    <row r="139" spans="1:4" x14ac:dyDescent="0.3">
      <c r="A139" s="1"/>
      <c r="B139" s="7"/>
      <c r="C139" s="7"/>
      <c r="D139" s="7"/>
    </row>
    <row r="140" spans="1:4" x14ac:dyDescent="0.3">
      <c r="A140" s="1"/>
      <c r="B140" s="7"/>
      <c r="C140" s="7"/>
      <c r="D140" s="7"/>
    </row>
    <row r="141" spans="1:4" x14ac:dyDescent="0.3">
      <c r="A141" s="1"/>
      <c r="B141" s="7"/>
      <c r="C141" s="7"/>
      <c r="D141" s="7"/>
    </row>
    <row r="142" spans="1:4" x14ac:dyDescent="0.3">
      <c r="A142" s="1"/>
      <c r="B142" s="7"/>
      <c r="C142" s="7"/>
      <c r="D142" s="7"/>
    </row>
    <row r="143" spans="1:4" x14ac:dyDescent="0.3">
      <c r="A143" s="1"/>
      <c r="B143" s="7"/>
      <c r="C143" s="7"/>
      <c r="D143" s="7"/>
    </row>
    <row r="144" spans="1:4" x14ac:dyDescent="0.3">
      <c r="A144" s="1"/>
      <c r="B144" s="7"/>
      <c r="C144" s="7"/>
      <c r="D144" s="7"/>
    </row>
    <row r="145" spans="1:4" x14ac:dyDescent="0.3">
      <c r="A145" s="1"/>
      <c r="B145" s="7"/>
      <c r="C145" s="7"/>
      <c r="D145" s="7"/>
    </row>
    <row r="146" spans="1:4" x14ac:dyDescent="0.3">
      <c r="A146" s="1"/>
      <c r="B146" s="7"/>
      <c r="C146" s="7"/>
      <c r="D146" s="7"/>
    </row>
    <row r="147" spans="1:4" x14ac:dyDescent="0.3">
      <c r="A147" s="1"/>
      <c r="B147" s="7"/>
      <c r="C147" s="7"/>
      <c r="D147" s="7"/>
    </row>
    <row r="148" spans="1:4" x14ac:dyDescent="0.3">
      <c r="A148" s="1"/>
      <c r="B148" s="7"/>
      <c r="C148" s="7"/>
      <c r="D148" s="7"/>
    </row>
    <row r="149" spans="1:4" x14ac:dyDescent="0.3">
      <c r="A149" s="1"/>
      <c r="B149" s="7"/>
      <c r="C149" s="7"/>
      <c r="D149" s="7"/>
    </row>
    <row r="150" spans="1:4" x14ac:dyDescent="0.3">
      <c r="A150" s="1"/>
      <c r="B150" s="7"/>
      <c r="C150" s="7"/>
      <c r="D150" s="7"/>
    </row>
    <row r="151" spans="1:4" x14ac:dyDescent="0.3">
      <c r="A151" s="1"/>
      <c r="B151" s="7"/>
      <c r="C151" s="7"/>
      <c r="D151" s="7"/>
    </row>
    <row r="152" spans="1:4" x14ac:dyDescent="0.3">
      <c r="A152" s="1"/>
      <c r="B152" s="7"/>
      <c r="C152" s="7"/>
      <c r="D152" s="7"/>
    </row>
    <row r="153" spans="1:4" x14ac:dyDescent="0.3">
      <c r="A153" s="1"/>
      <c r="B153" s="7"/>
      <c r="C153" s="7"/>
      <c r="D153" s="7"/>
    </row>
    <row r="154" spans="1:4" x14ac:dyDescent="0.3">
      <c r="A154" s="1"/>
      <c r="B154" s="7"/>
      <c r="C154" s="7"/>
      <c r="D154" s="7"/>
    </row>
    <row r="155" spans="1:4" x14ac:dyDescent="0.3">
      <c r="A155" s="1"/>
      <c r="B155" s="7"/>
      <c r="C155" s="7"/>
      <c r="D155" s="7"/>
    </row>
    <row r="156" spans="1:4" x14ac:dyDescent="0.3">
      <c r="A156" s="1"/>
      <c r="B156" s="7"/>
      <c r="C156" s="7"/>
      <c r="D156" s="7"/>
    </row>
    <row r="157" spans="1:4" x14ac:dyDescent="0.3">
      <c r="A157" s="1"/>
      <c r="B157" s="7"/>
      <c r="C157" s="7"/>
      <c r="D157" s="7"/>
    </row>
    <row r="158" spans="1:4" x14ac:dyDescent="0.3">
      <c r="A158" s="1"/>
      <c r="B158" s="7"/>
      <c r="C158" s="7"/>
      <c r="D158" s="7"/>
    </row>
    <row r="159" spans="1:4" x14ac:dyDescent="0.3">
      <c r="A159" s="1"/>
      <c r="B159" s="7"/>
      <c r="C159" s="7"/>
      <c r="D159" s="7"/>
    </row>
    <row r="160" spans="1:4" x14ac:dyDescent="0.3">
      <c r="A160" s="1"/>
      <c r="B160" s="7"/>
      <c r="C160" s="7"/>
      <c r="D160" s="7"/>
    </row>
    <row r="161" spans="1:4" x14ac:dyDescent="0.3">
      <c r="A161" s="1"/>
      <c r="B161" s="7"/>
      <c r="C161" s="7"/>
      <c r="D161" s="7"/>
    </row>
    <row r="162" spans="1:4" x14ac:dyDescent="0.3">
      <c r="A162" s="1"/>
      <c r="B162" s="7"/>
      <c r="C162" s="7"/>
      <c r="D162" s="7"/>
    </row>
    <row r="163" spans="1:4" x14ac:dyDescent="0.3">
      <c r="A163" s="1"/>
      <c r="B163" s="7"/>
      <c r="C163" s="7"/>
      <c r="D163" s="7"/>
    </row>
    <row r="164" spans="1:4" x14ac:dyDescent="0.3">
      <c r="A164" s="1"/>
      <c r="B164" s="7"/>
      <c r="C164" s="7"/>
      <c r="D164" s="7"/>
    </row>
    <row r="165" spans="1:4" x14ac:dyDescent="0.3">
      <c r="A165" s="1"/>
      <c r="B165" s="7"/>
      <c r="C165" s="7"/>
      <c r="D165" s="7"/>
    </row>
    <row r="166" spans="1:4" x14ac:dyDescent="0.3">
      <c r="A166" s="1"/>
      <c r="B166" s="7"/>
      <c r="C166" s="7"/>
      <c r="D166" s="7"/>
    </row>
    <row r="167" spans="1:4" x14ac:dyDescent="0.3">
      <c r="A167" s="1"/>
      <c r="B167" s="7"/>
      <c r="C167" s="7"/>
      <c r="D167" s="7"/>
    </row>
    <row r="168" spans="1:4" x14ac:dyDescent="0.3">
      <c r="A168" s="1"/>
      <c r="B168" s="7"/>
      <c r="C168" s="7"/>
      <c r="D168" s="7"/>
    </row>
    <row r="169" spans="1:4" x14ac:dyDescent="0.3">
      <c r="A169" s="1"/>
      <c r="B169" s="7"/>
      <c r="C169" s="7"/>
      <c r="D169" s="7"/>
    </row>
    <row r="170" spans="1:4" x14ac:dyDescent="0.3">
      <c r="A170" s="1"/>
      <c r="B170" s="7"/>
      <c r="C170" s="7"/>
      <c r="D170" s="7"/>
    </row>
    <row r="171" spans="1:4" x14ac:dyDescent="0.3">
      <c r="A171" s="1"/>
      <c r="B171" s="7"/>
      <c r="C171" s="7"/>
      <c r="D171" s="7"/>
    </row>
    <row r="172" spans="1:4" x14ac:dyDescent="0.3">
      <c r="A172" s="1"/>
      <c r="B172" s="7"/>
      <c r="C172" s="7"/>
      <c r="D172" s="7"/>
    </row>
    <row r="173" spans="1:4" x14ac:dyDescent="0.3">
      <c r="A173" s="1"/>
      <c r="B173" s="7"/>
      <c r="C173" s="7"/>
      <c r="D173" s="7"/>
    </row>
    <row r="174" spans="1:4" x14ac:dyDescent="0.3">
      <c r="A174" s="1"/>
      <c r="B174" s="7"/>
      <c r="C174" s="7"/>
      <c r="D174" s="7"/>
    </row>
    <row r="175" spans="1:4" x14ac:dyDescent="0.3">
      <c r="A175" s="1"/>
      <c r="B175" s="7"/>
      <c r="C175" s="7"/>
      <c r="D175" s="7"/>
    </row>
    <row r="176" spans="1:4" x14ac:dyDescent="0.3">
      <c r="A176" s="1"/>
      <c r="B176" s="7"/>
      <c r="C176" s="7"/>
      <c r="D176" s="7"/>
    </row>
    <row r="177" spans="1:4" x14ac:dyDescent="0.3">
      <c r="A177" s="1"/>
      <c r="B177" s="7"/>
      <c r="C177" s="7"/>
      <c r="D177" s="7"/>
    </row>
    <row r="178" spans="1:4" x14ac:dyDescent="0.3">
      <c r="A178" s="1"/>
      <c r="B178" s="7"/>
      <c r="C178" s="7"/>
      <c r="D178" s="7"/>
    </row>
    <row r="179" spans="1:4" x14ac:dyDescent="0.3">
      <c r="A179" s="1"/>
      <c r="B179" s="7"/>
      <c r="C179" s="7"/>
      <c r="D179" s="7"/>
    </row>
    <row r="180" spans="1:4" x14ac:dyDescent="0.3">
      <c r="A180" s="1"/>
      <c r="B180" s="7"/>
      <c r="C180" s="7"/>
      <c r="D180" s="7"/>
    </row>
    <row r="181" spans="1:4" x14ac:dyDescent="0.3">
      <c r="A181" s="1"/>
      <c r="B181" s="7"/>
      <c r="C181" s="7"/>
      <c r="D181" s="7"/>
    </row>
    <row r="182" spans="1:4" x14ac:dyDescent="0.3">
      <c r="A182" s="1"/>
      <c r="B182" s="7"/>
      <c r="C182" s="7"/>
      <c r="D182" s="7"/>
    </row>
    <row r="183" spans="1:4" x14ac:dyDescent="0.3">
      <c r="A183" s="1"/>
      <c r="B183" s="7"/>
      <c r="C183" s="7"/>
      <c r="D183" s="7"/>
    </row>
    <row r="184" spans="1:4" x14ac:dyDescent="0.3">
      <c r="A184" s="1"/>
      <c r="B184" s="7"/>
      <c r="C184" s="7"/>
      <c r="D184" s="7"/>
    </row>
    <row r="185" spans="1:4" x14ac:dyDescent="0.3">
      <c r="A185" s="1"/>
      <c r="B185" s="7"/>
      <c r="C185" s="7"/>
      <c r="D185" s="7"/>
    </row>
    <row r="186" spans="1:4" x14ac:dyDescent="0.3">
      <c r="A186" s="1"/>
      <c r="B186" s="7"/>
      <c r="C186" s="7"/>
      <c r="D186" s="7"/>
    </row>
    <row r="187" spans="1:4" x14ac:dyDescent="0.3">
      <c r="A187" s="1"/>
      <c r="B187" s="7"/>
      <c r="C187" s="7"/>
      <c r="D187" s="7"/>
    </row>
    <row r="188" spans="1:4" x14ac:dyDescent="0.3">
      <c r="A188" s="1"/>
      <c r="B188" s="7"/>
      <c r="C188" s="7"/>
      <c r="D188" s="7"/>
    </row>
    <row r="189" spans="1:4" x14ac:dyDescent="0.3">
      <c r="A189" s="1"/>
      <c r="B189" s="7"/>
      <c r="C189" s="7"/>
      <c r="D189" s="7"/>
    </row>
    <row r="190" spans="1:4" x14ac:dyDescent="0.3">
      <c r="A190" s="1"/>
      <c r="B190" s="7"/>
      <c r="C190" s="7"/>
      <c r="D190" s="7"/>
    </row>
    <row r="191" spans="1:4" x14ac:dyDescent="0.3">
      <c r="A191" s="1"/>
      <c r="B191" s="7"/>
      <c r="C191" s="7"/>
      <c r="D191" s="7"/>
    </row>
    <row r="192" spans="1:4" x14ac:dyDescent="0.3">
      <c r="A192" s="1"/>
      <c r="B192" s="7"/>
      <c r="C192" s="7"/>
      <c r="D192" s="7"/>
    </row>
    <row r="193" spans="1:4" x14ac:dyDescent="0.3">
      <c r="A193" s="1"/>
      <c r="B193" s="7"/>
      <c r="C193" s="7"/>
      <c r="D193" s="7"/>
    </row>
    <row r="194" spans="1:4" x14ac:dyDescent="0.3">
      <c r="A194" s="1"/>
      <c r="B194" s="7"/>
      <c r="C194" s="7"/>
      <c r="D194" s="7"/>
    </row>
    <row r="195" spans="1:4" x14ac:dyDescent="0.3">
      <c r="A195" s="1"/>
      <c r="B195" s="7"/>
      <c r="C195" s="7"/>
      <c r="D195" s="7"/>
    </row>
    <row r="196" spans="1:4" x14ac:dyDescent="0.3">
      <c r="A196" s="1"/>
      <c r="B196" s="7"/>
      <c r="C196" s="7"/>
      <c r="D196" s="7"/>
    </row>
    <row r="197" spans="1:4" x14ac:dyDescent="0.3">
      <c r="A197" s="1"/>
      <c r="B197" s="7"/>
      <c r="C197" s="7"/>
      <c r="D197" s="7"/>
    </row>
    <row r="198" spans="1:4" x14ac:dyDescent="0.3">
      <c r="A198" s="1"/>
      <c r="B198" s="7"/>
      <c r="C198" s="7"/>
      <c r="D198" s="7"/>
    </row>
    <row r="199" spans="1:4" x14ac:dyDescent="0.3">
      <c r="A199" s="1"/>
      <c r="B199" s="7"/>
      <c r="C199" s="7"/>
      <c r="D199" s="7"/>
    </row>
    <row r="200" spans="1:4" x14ac:dyDescent="0.3">
      <c r="A200" s="1"/>
      <c r="B200" s="7"/>
      <c r="C200" s="7"/>
      <c r="D200" s="7"/>
    </row>
    <row r="201" spans="1:4" x14ac:dyDescent="0.3">
      <c r="A201" s="1"/>
      <c r="B201" s="7"/>
      <c r="C201" s="7"/>
      <c r="D201" s="7"/>
    </row>
    <row r="202" spans="1:4" x14ac:dyDescent="0.3">
      <c r="A202" s="1"/>
      <c r="B202" s="7"/>
      <c r="C202" s="7"/>
      <c r="D202" s="7"/>
    </row>
    <row r="203" spans="1:4" x14ac:dyDescent="0.3">
      <c r="A203" s="1"/>
      <c r="B203" s="7"/>
      <c r="C203" s="7"/>
      <c r="D203" s="7"/>
    </row>
    <row r="204" spans="1:4" x14ac:dyDescent="0.3">
      <c r="A204" s="1"/>
      <c r="B204" s="7"/>
      <c r="C204" s="7"/>
      <c r="D204" s="7"/>
    </row>
    <row r="205" spans="1:4" x14ac:dyDescent="0.3">
      <c r="A205" s="1"/>
      <c r="B205" s="7"/>
      <c r="C205" s="7"/>
      <c r="D205" s="7"/>
    </row>
    <row r="206" spans="1:4" x14ac:dyDescent="0.3">
      <c r="A206" s="1"/>
      <c r="B206" s="7"/>
      <c r="C206" s="7"/>
      <c r="D206" s="7"/>
    </row>
    <row r="207" spans="1:4" x14ac:dyDescent="0.3">
      <c r="A207" s="1"/>
      <c r="B207" s="7"/>
      <c r="C207" s="7"/>
      <c r="D207" s="7"/>
    </row>
    <row r="208" spans="1:4" x14ac:dyDescent="0.3">
      <c r="A208" s="1"/>
      <c r="B208" s="7"/>
      <c r="C208" s="7"/>
      <c r="D208" s="7"/>
    </row>
    <row r="209" spans="1:4" x14ac:dyDescent="0.3">
      <c r="A209" s="1"/>
      <c r="B209" s="7"/>
      <c r="C209" s="7"/>
      <c r="D209" s="7"/>
    </row>
    <row r="210" spans="1:4" x14ac:dyDescent="0.3">
      <c r="A210" s="1"/>
      <c r="B210" s="7"/>
      <c r="C210" s="7"/>
      <c r="D210" s="7"/>
    </row>
    <row r="211" spans="1:4" x14ac:dyDescent="0.3">
      <c r="A211" s="1"/>
      <c r="B211" s="7"/>
      <c r="C211" s="7"/>
      <c r="D211" s="7"/>
    </row>
    <row r="212" spans="1:4" x14ac:dyDescent="0.3">
      <c r="A212" s="1"/>
      <c r="B212" s="7"/>
      <c r="C212" s="7"/>
      <c r="D212" s="7"/>
    </row>
    <row r="213" spans="1:4" x14ac:dyDescent="0.3">
      <c r="A213" s="1"/>
      <c r="B213" s="7"/>
      <c r="C213" s="7"/>
      <c r="D213" s="7"/>
    </row>
    <row r="214" spans="1:4" x14ac:dyDescent="0.3">
      <c r="A214" s="1"/>
      <c r="B214" s="7"/>
      <c r="C214" s="7"/>
      <c r="D214" s="7"/>
    </row>
    <row r="215" spans="1:4" x14ac:dyDescent="0.3">
      <c r="A215" s="1"/>
      <c r="B215" s="7"/>
      <c r="C215" s="7"/>
      <c r="D215" s="7"/>
    </row>
    <row r="216" spans="1:4" x14ac:dyDescent="0.3">
      <c r="A216" s="1"/>
      <c r="B216" s="7"/>
      <c r="C216" s="7"/>
      <c r="D216" s="7"/>
    </row>
    <row r="217" spans="1:4" x14ac:dyDescent="0.3">
      <c r="A217" s="1"/>
      <c r="B217" s="7"/>
      <c r="C217" s="7"/>
      <c r="D217" s="7"/>
    </row>
    <row r="218" spans="1:4" x14ac:dyDescent="0.3">
      <c r="A218" s="1"/>
      <c r="B218" s="7"/>
      <c r="C218" s="7"/>
      <c r="D218" s="7"/>
    </row>
    <row r="219" spans="1:4" x14ac:dyDescent="0.3">
      <c r="A219" s="1"/>
      <c r="B219" s="7"/>
      <c r="C219" s="7"/>
      <c r="D219" s="7"/>
    </row>
    <row r="220" spans="1:4" x14ac:dyDescent="0.3">
      <c r="A220" s="1"/>
      <c r="B220" s="7"/>
      <c r="C220" s="7"/>
      <c r="D220" s="7"/>
    </row>
    <row r="221" spans="1:4" x14ac:dyDescent="0.3">
      <c r="B221" s="7"/>
      <c r="C221" s="7"/>
      <c r="D221" s="7"/>
    </row>
    <row r="222" spans="1:4" x14ac:dyDescent="0.3">
      <c r="B222" s="7"/>
      <c r="C222" s="7"/>
      <c r="D222" s="7"/>
    </row>
    <row r="223" spans="1:4" x14ac:dyDescent="0.3">
      <c r="B223" s="7"/>
      <c r="C223" s="7"/>
      <c r="D223" s="7"/>
    </row>
    <row r="224" spans="1:4" x14ac:dyDescent="0.3">
      <c r="B224" s="7"/>
      <c r="C224" s="7"/>
      <c r="D224" s="7"/>
    </row>
    <row r="225" spans="2:4" x14ac:dyDescent="0.3">
      <c r="B225" s="7"/>
      <c r="C225" s="7"/>
      <c r="D225" s="7"/>
    </row>
    <row r="226" spans="2:4" x14ac:dyDescent="0.3">
      <c r="B226" s="7"/>
      <c r="C226" s="7"/>
      <c r="D226" s="7"/>
    </row>
    <row r="227" spans="2:4" x14ac:dyDescent="0.3">
      <c r="B227" s="7"/>
      <c r="C227" s="7"/>
      <c r="D227" s="7"/>
    </row>
    <row r="228" spans="2:4" x14ac:dyDescent="0.3">
      <c r="B228" s="7"/>
      <c r="C228" s="7"/>
      <c r="D228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19F2-CC7F-4074-BFB7-D501B10D48C0}">
  <dimension ref="A1:K56"/>
  <sheetViews>
    <sheetView tabSelected="1" topLeftCell="A28" zoomScale="85" zoomScaleNormal="85" workbookViewId="0">
      <selection activeCell="H47" sqref="H47"/>
    </sheetView>
  </sheetViews>
  <sheetFormatPr defaultRowHeight="14.4" x14ac:dyDescent="0.3"/>
  <cols>
    <col min="1" max="1" width="97.44140625" customWidth="1"/>
    <col min="2" max="2" width="16.109375" customWidth="1"/>
    <col min="9" max="9" width="12" customWidth="1"/>
  </cols>
  <sheetData>
    <row r="1" spans="1:11" x14ac:dyDescent="0.3">
      <c r="A1" s="1" t="s">
        <v>94</v>
      </c>
      <c r="B1" s="17" t="s">
        <v>52</v>
      </c>
      <c r="C1" s="7"/>
      <c r="D1" s="7">
        <v>450</v>
      </c>
      <c r="G1" s="3" t="s">
        <v>6</v>
      </c>
      <c r="H1">
        <f>SUM(C1:C172)</f>
        <v>12400</v>
      </c>
      <c r="I1" s="4">
        <f xml:space="preserve"> H4* 0.0376</f>
        <v>1198.5</v>
      </c>
      <c r="J1" t="s">
        <v>18</v>
      </c>
    </row>
    <row r="2" spans="1:11" x14ac:dyDescent="0.3">
      <c r="A2" s="1"/>
      <c r="B2" s="17" t="s">
        <v>52</v>
      </c>
      <c r="C2" s="7"/>
      <c r="D2" s="7">
        <v>450</v>
      </c>
      <c r="H2">
        <f>H1*0.2</f>
        <v>2480</v>
      </c>
    </row>
    <row r="3" spans="1:11" x14ac:dyDescent="0.3">
      <c r="A3" s="1"/>
      <c r="B3" s="17" t="s">
        <v>52</v>
      </c>
      <c r="C3" s="7"/>
      <c r="D3" s="7">
        <v>450</v>
      </c>
      <c r="H3">
        <f>SUM(H1:H2)</f>
        <v>14880</v>
      </c>
    </row>
    <row r="4" spans="1:11" x14ac:dyDescent="0.3">
      <c r="A4" s="1"/>
      <c r="B4" s="17" t="s">
        <v>52</v>
      </c>
      <c r="C4" s="7" t="s">
        <v>64</v>
      </c>
      <c r="D4" s="7">
        <v>135</v>
      </c>
      <c r="H4">
        <f>SUM(H3,H5)</f>
        <v>31875</v>
      </c>
    </row>
    <row r="5" spans="1:11" x14ac:dyDescent="0.3">
      <c r="A5" s="1"/>
      <c r="B5" s="17" t="s">
        <v>68</v>
      </c>
      <c r="C5" s="7" t="s">
        <v>64</v>
      </c>
      <c r="D5" s="7">
        <v>90</v>
      </c>
      <c r="G5" s="3" t="s">
        <v>30</v>
      </c>
      <c r="H5">
        <f>SUM(D1:D322)</f>
        <v>16995</v>
      </c>
    </row>
    <row r="6" spans="1:11" x14ac:dyDescent="0.3">
      <c r="A6" s="1"/>
      <c r="B6" s="16" t="s">
        <v>69</v>
      </c>
      <c r="C6" s="7">
        <v>1710</v>
      </c>
      <c r="D6" s="7"/>
      <c r="I6" s="14" t="s">
        <v>7</v>
      </c>
      <c r="J6" s="7">
        <v>390</v>
      </c>
      <c r="K6" s="7"/>
    </row>
    <row r="7" spans="1:11" x14ac:dyDescent="0.3">
      <c r="A7" s="1" t="s">
        <v>95</v>
      </c>
      <c r="B7" s="17" t="s">
        <v>52</v>
      </c>
      <c r="C7" s="7"/>
      <c r="D7" s="7">
        <v>450</v>
      </c>
      <c r="K7" s="7"/>
    </row>
    <row r="8" spans="1:11" x14ac:dyDescent="0.3">
      <c r="A8" s="1"/>
      <c r="B8" s="17" t="s">
        <v>52</v>
      </c>
      <c r="C8" s="7"/>
      <c r="D8" s="7">
        <v>450</v>
      </c>
      <c r="I8" s="16" t="s">
        <v>2</v>
      </c>
      <c r="J8" s="7">
        <v>950</v>
      </c>
      <c r="K8" s="7"/>
    </row>
    <row r="9" spans="1:11" x14ac:dyDescent="0.3">
      <c r="A9" s="1"/>
      <c r="B9" s="17" t="s">
        <v>52</v>
      </c>
      <c r="C9" s="7"/>
      <c r="D9" s="7">
        <v>450</v>
      </c>
      <c r="I9" s="16" t="s">
        <v>3</v>
      </c>
      <c r="J9" s="7">
        <v>1140</v>
      </c>
      <c r="K9" s="7"/>
    </row>
    <row r="10" spans="1:11" x14ac:dyDescent="0.3">
      <c r="A10" s="1"/>
      <c r="B10" s="17" t="s">
        <v>52</v>
      </c>
      <c r="C10" s="7"/>
      <c r="D10" s="7">
        <v>450</v>
      </c>
      <c r="I10" s="16" t="s">
        <v>4</v>
      </c>
      <c r="J10" s="7">
        <v>1330</v>
      </c>
      <c r="K10" s="7"/>
    </row>
    <row r="11" spans="1:11" x14ac:dyDescent="0.3">
      <c r="A11" s="1"/>
      <c r="B11" s="17" t="s">
        <v>52</v>
      </c>
      <c r="C11" s="7"/>
      <c r="D11" s="7">
        <v>450</v>
      </c>
      <c r="I11" s="16" t="s">
        <v>5</v>
      </c>
      <c r="J11" s="7">
        <v>1520</v>
      </c>
      <c r="K11" s="7"/>
    </row>
    <row r="12" spans="1:11" x14ac:dyDescent="0.3">
      <c r="A12" s="1"/>
      <c r="B12" s="17" t="s">
        <v>52</v>
      </c>
      <c r="C12" s="7" t="s">
        <v>64</v>
      </c>
      <c r="D12" s="7">
        <v>135</v>
      </c>
      <c r="I12" s="16" t="s">
        <v>69</v>
      </c>
      <c r="J12" s="7">
        <v>1710</v>
      </c>
      <c r="K12" s="7"/>
    </row>
    <row r="13" spans="1:11" x14ac:dyDescent="0.3">
      <c r="A13" s="1"/>
      <c r="B13" s="16" t="s">
        <v>3</v>
      </c>
      <c r="C13" s="7">
        <v>1140</v>
      </c>
      <c r="I13" s="7"/>
      <c r="J13" s="7"/>
      <c r="K13" s="7"/>
    </row>
    <row r="14" spans="1:11" x14ac:dyDescent="0.3">
      <c r="A14" s="1" t="s">
        <v>96</v>
      </c>
      <c r="B14" s="17" t="s">
        <v>52</v>
      </c>
      <c r="C14" s="7"/>
      <c r="D14" s="7">
        <v>450</v>
      </c>
      <c r="I14" s="15" t="s">
        <v>11</v>
      </c>
      <c r="J14" s="7"/>
      <c r="K14" s="7">
        <v>322.5</v>
      </c>
    </row>
    <row r="15" spans="1:11" x14ac:dyDescent="0.3">
      <c r="A15" s="1"/>
      <c r="B15" s="17" t="s">
        <v>52</v>
      </c>
      <c r="C15" s="7"/>
      <c r="D15" s="7">
        <v>450</v>
      </c>
      <c r="I15" s="15" t="s">
        <v>12</v>
      </c>
      <c r="J15" s="7"/>
      <c r="K15" s="7">
        <v>645</v>
      </c>
    </row>
    <row r="16" spans="1:11" x14ac:dyDescent="0.3">
      <c r="B16" s="17" t="s">
        <v>52</v>
      </c>
      <c r="C16" s="7"/>
      <c r="D16" s="7">
        <v>450</v>
      </c>
      <c r="I16" s="15" t="s">
        <v>15</v>
      </c>
      <c r="J16" s="7"/>
      <c r="K16" s="7">
        <v>375</v>
      </c>
    </row>
    <row r="17" spans="1:11" x14ac:dyDescent="0.3">
      <c r="A17" s="1"/>
      <c r="B17" s="17" t="s">
        <v>52</v>
      </c>
      <c r="C17" s="7"/>
      <c r="D17" s="7">
        <v>450</v>
      </c>
    </row>
    <row r="18" spans="1:11" x14ac:dyDescent="0.3">
      <c r="A18" s="1"/>
      <c r="B18" s="17" t="s">
        <v>52</v>
      </c>
      <c r="C18" s="7"/>
      <c r="D18" s="7">
        <v>450</v>
      </c>
    </row>
    <row r="19" spans="1:11" x14ac:dyDescent="0.3">
      <c r="A19" s="1"/>
      <c r="B19" s="17" t="s">
        <v>52</v>
      </c>
      <c r="C19" s="7"/>
      <c r="D19" s="7">
        <v>450</v>
      </c>
      <c r="I19" s="17" t="s">
        <v>52</v>
      </c>
      <c r="J19" s="7"/>
      <c r="K19" s="7">
        <v>450</v>
      </c>
    </row>
    <row r="20" spans="1:11" x14ac:dyDescent="0.3">
      <c r="A20" s="1"/>
      <c r="B20" s="17" t="s">
        <v>52</v>
      </c>
      <c r="C20" s="7"/>
      <c r="D20" s="7">
        <v>450</v>
      </c>
      <c r="I20" s="7"/>
      <c r="J20" s="7" t="s">
        <v>64</v>
      </c>
      <c r="K20" s="7">
        <v>135</v>
      </c>
    </row>
    <row r="21" spans="1:11" x14ac:dyDescent="0.3">
      <c r="A21" s="1"/>
      <c r="B21" s="14" t="s">
        <v>7</v>
      </c>
      <c r="C21" s="7">
        <v>390</v>
      </c>
      <c r="D21" s="7"/>
      <c r="I21" s="17" t="s">
        <v>68</v>
      </c>
      <c r="J21" s="7"/>
      <c r="K21" s="7">
        <v>300</v>
      </c>
    </row>
    <row r="22" spans="1:11" x14ac:dyDescent="0.3">
      <c r="A22" s="1"/>
      <c r="B22" s="14" t="s">
        <v>7</v>
      </c>
      <c r="C22" s="7">
        <v>390</v>
      </c>
      <c r="D22" s="7"/>
      <c r="I22" s="7"/>
      <c r="J22" s="7" t="s">
        <v>64</v>
      </c>
      <c r="K22" s="7">
        <v>90</v>
      </c>
    </row>
    <row r="23" spans="1:11" x14ac:dyDescent="0.3">
      <c r="A23" s="1" t="s">
        <v>97</v>
      </c>
      <c r="B23" s="16" t="s">
        <v>1</v>
      </c>
      <c r="C23" s="7">
        <v>760</v>
      </c>
    </row>
    <row r="24" spans="1:11" x14ac:dyDescent="0.3">
      <c r="A24" s="1"/>
      <c r="B24" s="16" t="s">
        <v>1</v>
      </c>
      <c r="C24" s="7">
        <v>760</v>
      </c>
    </row>
    <row r="25" spans="1:11" x14ac:dyDescent="0.3">
      <c r="A25" s="1"/>
      <c r="B25" s="16" t="s">
        <v>5</v>
      </c>
      <c r="C25" s="7">
        <v>1520</v>
      </c>
    </row>
    <row r="26" spans="1:11" x14ac:dyDescent="0.3">
      <c r="A26" s="1"/>
      <c r="B26" s="17" t="s">
        <v>52</v>
      </c>
      <c r="C26" s="7"/>
      <c r="D26" s="7">
        <v>450</v>
      </c>
    </row>
    <row r="27" spans="1:11" x14ac:dyDescent="0.3">
      <c r="A27" s="1"/>
      <c r="B27" s="17" t="s">
        <v>52</v>
      </c>
      <c r="C27" s="7"/>
      <c r="D27" s="7">
        <v>450</v>
      </c>
    </row>
    <row r="28" spans="1:11" x14ac:dyDescent="0.3">
      <c r="B28" s="17" t="s">
        <v>52</v>
      </c>
      <c r="C28" s="7"/>
      <c r="D28" s="7">
        <v>450</v>
      </c>
    </row>
    <row r="29" spans="1:11" x14ac:dyDescent="0.3">
      <c r="A29" s="1" t="s">
        <v>98</v>
      </c>
      <c r="B29" s="16" t="s">
        <v>5</v>
      </c>
      <c r="C29" s="7">
        <v>1520</v>
      </c>
    </row>
    <row r="30" spans="1:11" x14ac:dyDescent="0.3">
      <c r="B30" s="16" t="s">
        <v>1</v>
      </c>
      <c r="C30" s="7">
        <v>760</v>
      </c>
    </row>
    <row r="31" spans="1:11" x14ac:dyDescent="0.3">
      <c r="B31" s="17" t="s">
        <v>52</v>
      </c>
      <c r="C31" s="7"/>
      <c r="D31" s="7">
        <v>450</v>
      </c>
    </row>
    <row r="32" spans="1:11" x14ac:dyDescent="0.3">
      <c r="B32" s="17" t="s">
        <v>52</v>
      </c>
      <c r="C32" s="7"/>
      <c r="D32" s="7">
        <v>450</v>
      </c>
    </row>
    <row r="33" spans="1:4" x14ac:dyDescent="0.3">
      <c r="A33" s="1" t="s">
        <v>99</v>
      </c>
      <c r="B33" s="17" t="s">
        <v>52</v>
      </c>
      <c r="C33" s="7"/>
      <c r="D33" s="7">
        <v>450</v>
      </c>
    </row>
    <row r="34" spans="1:4" x14ac:dyDescent="0.3">
      <c r="B34" s="17" t="s">
        <v>52</v>
      </c>
      <c r="C34" s="7"/>
      <c r="D34" s="7">
        <v>450</v>
      </c>
    </row>
    <row r="35" spans="1:4" x14ac:dyDescent="0.3">
      <c r="B35" s="17" t="s">
        <v>52</v>
      </c>
      <c r="C35" s="7"/>
      <c r="D35" s="7">
        <v>450</v>
      </c>
    </row>
    <row r="36" spans="1:4" x14ac:dyDescent="0.3">
      <c r="B36" s="17" t="s">
        <v>52</v>
      </c>
      <c r="C36" s="7"/>
      <c r="D36" s="7">
        <v>450</v>
      </c>
    </row>
    <row r="37" spans="1:4" x14ac:dyDescent="0.3">
      <c r="B37" s="17" t="s">
        <v>52</v>
      </c>
      <c r="C37" s="7"/>
      <c r="D37" s="7">
        <v>450</v>
      </c>
    </row>
    <row r="38" spans="1:4" x14ac:dyDescent="0.3">
      <c r="B38" s="17" t="s">
        <v>68</v>
      </c>
      <c r="C38" s="7"/>
      <c r="D38" s="7">
        <v>300</v>
      </c>
    </row>
    <row r="39" spans="1:4" x14ac:dyDescent="0.3">
      <c r="B39" s="14" t="s">
        <v>7</v>
      </c>
      <c r="C39" s="7">
        <v>390</v>
      </c>
    </row>
    <row r="40" spans="1:4" x14ac:dyDescent="0.3">
      <c r="B40" s="16" t="s">
        <v>4</v>
      </c>
      <c r="C40" s="7">
        <v>1330</v>
      </c>
    </row>
    <row r="41" spans="1:4" x14ac:dyDescent="0.3">
      <c r="A41" s="20">
        <v>46184</v>
      </c>
      <c r="B41" s="17" t="s">
        <v>52</v>
      </c>
      <c r="C41" s="7"/>
      <c r="D41" s="7">
        <v>450</v>
      </c>
    </row>
    <row r="42" spans="1:4" x14ac:dyDescent="0.3">
      <c r="B42" s="17" t="s">
        <v>52</v>
      </c>
      <c r="C42" s="7"/>
      <c r="D42" s="7">
        <v>450</v>
      </c>
    </row>
    <row r="43" spans="1:4" x14ac:dyDescent="0.3">
      <c r="B43" s="17" t="s">
        <v>52</v>
      </c>
      <c r="C43" s="7"/>
      <c r="D43" s="7">
        <v>450</v>
      </c>
    </row>
    <row r="44" spans="1:4" x14ac:dyDescent="0.3">
      <c r="B44" s="17" t="s">
        <v>52</v>
      </c>
      <c r="C44" s="7"/>
      <c r="D44" s="7">
        <v>450</v>
      </c>
    </row>
    <row r="45" spans="1:4" x14ac:dyDescent="0.3">
      <c r="B45" s="17" t="s">
        <v>52</v>
      </c>
      <c r="C45" s="7"/>
      <c r="D45" s="7">
        <v>450</v>
      </c>
    </row>
    <row r="46" spans="1:4" x14ac:dyDescent="0.3">
      <c r="B46" s="16" t="s">
        <v>2</v>
      </c>
      <c r="C46" s="7">
        <v>950</v>
      </c>
    </row>
    <row r="47" spans="1:4" x14ac:dyDescent="0.3">
      <c r="A47" s="20">
        <v>46185</v>
      </c>
      <c r="B47" s="17" t="s">
        <v>52</v>
      </c>
      <c r="C47" s="7"/>
      <c r="D47" s="7">
        <v>450</v>
      </c>
    </row>
    <row r="48" spans="1:4" x14ac:dyDescent="0.3">
      <c r="B48" s="17" t="s">
        <v>52</v>
      </c>
      <c r="C48" s="7"/>
      <c r="D48" s="7">
        <v>450</v>
      </c>
    </row>
    <row r="49" spans="1:4" x14ac:dyDescent="0.3">
      <c r="B49" s="17" t="s">
        <v>52</v>
      </c>
      <c r="C49" s="7"/>
      <c r="D49" s="7">
        <v>450</v>
      </c>
    </row>
    <row r="50" spans="1:4" x14ac:dyDescent="0.3">
      <c r="B50" s="17" t="s">
        <v>52</v>
      </c>
      <c r="C50" s="7"/>
      <c r="D50" s="7">
        <v>450</v>
      </c>
    </row>
    <row r="51" spans="1:4" x14ac:dyDescent="0.3">
      <c r="B51" s="17" t="s">
        <v>52</v>
      </c>
      <c r="C51" s="7" t="s">
        <v>64</v>
      </c>
      <c r="D51" s="7">
        <v>135</v>
      </c>
    </row>
    <row r="52" spans="1:4" x14ac:dyDescent="0.3">
      <c r="B52" s="17" t="s">
        <v>52</v>
      </c>
      <c r="C52" s="7"/>
      <c r="D52" s="7">
        <v>450</v>
      </c>
    </row>
    <row r="53" spans="1:4" x14ac:dyDescent="0.3">
      <c r="B53" s="17" t="s">
        <v>52</v>
      </c>
      <c r="C53" s="7"/>
      <c r="D53" s="7">
        <v>450</v>
      </c>
    </row>
    <row r="54" spans="1:4" x14ac:dyDescent="0.3">
      <c r="B54" s="14" t="s">
        <v>7</v>
      </c>
      <c r="C54" s="7">
        <v>390</v>
      </c>
      <c r="D54" s="7"/>
    </row>
    <row r="55" spans="1:4" x14ac:dyDescent="0.3">
      <c r="B55" s="14" t="s">
        <v>7</v>
      </c>
      <c r="C55" s="7">
        <v>390</v>
      </c>
    </row>
    <row r="56" spans="1:4" x14ac:dyDescent="0.3">
      <c r="A56" s="20">
        <v>46187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Долг</vt:lpstr>
      <vt:lpstr>Март</vt:lpstr>
      <vt:lpstr>Апрель</vt:lpstr>
      <vt:lpstr>Май</vt:lpstr>
      <vt:lpstr>Июнь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SlavaLevch</dc:creator>
  <cp:lastModifiedBy>Вячеслав Левченко</cp:lastModifiedBy>
  <dcterms:created xsi:type="dcterms:W3CDTF">2015-06-05T18:19:34Z</dcterms:created>
  <dcterms:modified xsi:type="dcterms:W3CDTF">2026-06-12T17:50:29Z</dcterms:modified>
</cp:coreProperties>
</file>